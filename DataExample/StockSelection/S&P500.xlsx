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72F18D6-67B4-481E-A3DE-80A860AAB67F}" xr6:coauthVersionLast="36" xr6:coauthVersionMax="36" xr10:uidLastSave="{00000000-0000-0000-0000-000000000000}"/>
  <bookViews>
    <workbookView xWindow="0" yWindow="0" windowWidth="19150" windowHeight="7220" activeTab="1" xr2:uid="{80E03666-C0F7-480E-A796-C9431FFED129}"/>
  </bookViews>
  <sheets>
    <sheet name="top8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5" i="2" l="1"/>
  <c r="F86" i="2"/>
  <c r="F87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K13" i="2"/>
  <c r="K12" i="2"/>
  <c r="K11" i="2"/>
  <c r="K10" i="2"/>
  <c r="K9" i="2"/>
  <c r="K8" i="2"/>
  <c r="K7" i="2"/>
  <c r="K6" i="2"/>
  <c r="K5" i="2"/>
  <c r="K4" i="2"/>
  <c r="K3" i="2"/>
  <c r="K2" i="2"/>
  <c r="F2" i="2"/>
  <c r="K5" i="1" l="1"/>
  <c r="K10" i="1"/>
  <c r="K11" i="1"/>
  <c r="K12" i="1"/>
  <c r="K7" i="1"/>
  <c r="K8" i="1"/>
  <c r="K3" i="1"/>
  <c r="K4" i="1"/>
  <c r="K6" i="1"/>
  <c r="K9" i="1"/>
  <c r="K13" i="1"/>
  <c r="K2" i="1"/>
  <c r="F2" i="1"/>
  <c r="F3" i="1"/>
</calcChain>
</file>

<file path=xl/sharedStrings.xml><?xml version="1.0" encoding="utf-8"?>
<sst xmlns="http://schemas.openxmlformats.org/spreadsheetml/2006/main" count="1010" uniqueCount="574">
  <si>
    <t>#</t>
  </si>
  <si>
    <t>Company</t>
  </si>
  <si>
    <t>Symbol</t>
  </si>
  <si>
    <t>Weight</t>
  </si>
  <si>
    <t>      Price</t>
  </si>
  <si>
    <t>Apple Inc.</t>
  </si>
  <si>
    <t>AAPL</t>
  </si>
  <si>
    <t>   205.35</t>
  </si>
  <si>
    <t>Microsoft Corp</t>
  </si>
  <si>
    <t>MSFT</t>
  </si>
  <si>
    <t>   435.28</t>
  </si>
  <si>
    <t>Nvidia Corp</t>
  </si>
  <si>
    <t>NVDA</t>
  </si>
  <si>
    <t>   114.50</t>
  </si>
  <si>
    <t>Amazon.com Inc</t>
  </si>
  <si>
    <t>AMZN</t>
  </si>
  <si>
    <t>   189.98</t>
  </si>
  <si>
    <t>Meta Platforms, Inc. Class A</t>
  </si>
  <si>
    <t>META</t>
  </si>
  <si>
    <t>   597.02</t>
  </si>
  <si>
    <t>Berkshire Hathaway Class B</t>
  </si>
  <si>
    <t>BRK.B</t>
  </si>
  <si>
    <t>   539.80</t>
  </si>
  <si>
    <t>Alphabet Inc. Class A</t>
  </si>
  <si>
    <t>GOOGL</t>
  </si>
  <si>
    <t>   164.03</t>
  </si>
  <si>
    <t>Broadcom Inc.</t>
  </si>
  <si>
    <t>AVGO</t>
  </si>
  <si>
    <t>   203.64</t>
  </si>
  <si>
    <t>Tesla, Inc.</t>
  </si>
  <si>
    <t>TSLA</t>
  </si>
  <si>
    <t>   287.21</t>
  </si>
  <si>
    <t>Jpmorgan Chase &amp; Co.</t>
  </si>
  <si>
    <t>JPM</t>
  </si>
  <si>
    <t>   252.51</t>
  </si>
  <si>
    <t>Eli Lilly &amp; Co.</t>
  </si>
  <si>
    <t>LLY</t>
  </si>
  <si>
    <t>   823.62</t>
  </si>
  <si>
    <t>Visa Inc.</t>
  </si>
  <si>
    <t>V</t>
  </si>
  <si>
    <t>   347.60</t>
  </si>
  <si>
    <t>Netflix Inc</t>
  </si>
  <si>
    <t>NFLX</t>
  </si>
  <si>
    <t>   1,156.49</t>
  </si>
  <si>
    <t>Exxon Mobil Corporation</t>
  </si>
  <si>
    <t>XOM</t>
  </si>
  <si>
    <t>   106.21</t>
  </si>
  <si>
    <t>Mastercard Incorporated</t>
  </si>
  <si>
    <t>MA</t>
  </si>
  <si>
    <t>   559.39</t>
  </si>
  <si>
    <t>Costco Wholesale Corp</t>
  </si>
  <si>
    <t>COST</t>
  </si>
  <si>
    <t>   1,008.30</t>
  </si>
  <si>
    <t>Walmart Inc.</t>
  </si>
  <si>
    <t>WMT</t>
  </si>
  <si>
    <t>   98.75</t>
  </si>
  <si>
    <t>Procter &amp; Gamble Company</t>
  </si>
  <si>
    <t>PG</t>
  </si>
  <si>
    <t>   160.52</t>
  </si>
  <si>
    <t>Johnson &amp; Johnson</t>
  </si>
  <si>
    <t>JNJ</t>
  </si>
  <si>
    <t>   156.12</t>
  </si>
  <si>
    <t>Unitedhealth Group Incorporated</t>
  </si>
  <si>
    <t>UNH</t>
  </si>
  <si>
    <t>   399.92</t>
  </si>
  <si>
    <t>Home Depot, Inc.</t>
  </si>
  <si>
    <t>HD</t>
  </si>
  <si>
    <t>   364.52</t>
  </si>
  <si>
    <t>Abbvie Inc.</t>
  </si>
  <si>
    <t>ABBV</t>
  </si>
  <si>
    <t>   198.47</t>
  </si>
  <si>
    <t>Coca-Cola Company</t>
  </si>
  <si>
    <t>KO</t>
  </si>
  <si>
    <t>   71.65</t>
  </si>
  <si>
    <t>Bank of America Corporation</t>
  </si>
  <si>
    <t>BAC</t>
  </si>
  <si>
    <t>   41.07</t>
  </si>
  <si>
    <t>Philip Morris International Inc.</t>
  </si>
  <si>
    <t>PM</t>
  </si>
  <si>
    <t>   170.86</t>
  </si>
  <si>
    <t>Salesforce, Inc.</t>
  </si>
  <si>
    <t>CRM</t>
  </si>
  <si>
    <t>   275.08</t>
  </si>
  <si>
    <t>Palantir Technologies Inc. Class A</t>
  </si>
  <si>
    <t>PLTR</t>
  </si>
  <si>
    <t>   124.28</t>
  </si>
  <si>
    <t>Wells Fargo &amp; Co.</t>
  </si>
  <si>
    <t>WFC</t>
  </si>
  <si>
    <t>   73.80</t>
  </si>
  <si>
    <t>Oracle Corp</t>
  </si>
  <si>
    <t>ORCL</t>
  </si>
  <si>
    <t>   150.73</t>
  </si>
  <si>
    <t>Cisco Systems, Inc.</t>
  </si>
  <si>
    <t>CSCO</t>
  </si>
  <si>
    <t>   59.33</t>
  </si>
  <si>
    <t>Chevron Corporation</t>
  </si>
  <si>
    <t>CVX</t>
  </si>
  <si>
    <t>   138.50</t>
  </si>
  <si>
    <t>Abbott Laboratories</t>
  </si>
  <si>
    <t>ABT</t>
  </si>
  <si>
    <t>   132.82</t>
  </si>
  <si>
    <t>Mcdonald's Corporation</t>
  </si>
  <si>
    <t>MCD</t>
  </si>
  <si>
    <t>   311.96</t>
  </si>
  <si>
    <t>International Business Machines Corporation</t>
  </si>
  <si>
    <t>IBM</t>
  </si>
  <si>
    <t>   245.55</t>
  </si>
  <si>
    <t>Ge Aerospace</t>
  </si>
  <si>
    <t>GE</t>
  </si>
  <si>
    <t>   207.70</t>
  </si>
  <si>
    <t>Linde Plc</t>
  </si>
  <si>
    <t>LIN</t>
  </si>
  <si>
    <t>   454.95</t>
  </si>
  <si>
    <t>Merck &amp; Co., Inc.</t>
  </si>
  <si>
    <t>MRK</t>
  </si>
  <si>
    <t>   83.18</t>
  </si>
  <si>
    <t>At&amp;t Inc.</t>
  </si>
  <si>
    <t>T</t>
  </si>
  <si>
    <t>   27.61</t>
  </si>
  <si>
    <t>Servicenow, Inc.</t>
  </si>
  <si>
    <t>NOW</t>
  </si>
  <si>
    <t>   977.36</t>
  </si>
  <si>
    <t>Accenture Plc</t>
  </si>
  <si>
    <t>ACN</t>
  </si>
  <si>
    <t>   305.33</t>
  </si>
  <si>
    <t>Intuitive Surgical Inc.</t>
  </si>
  <si>
    <t>ISRG</t>
  </si>
  <si>
    <t>   529.42</t>
  </si>
  <si>
    <t>Pepsico, Inc.</t>
  </si>
  <si>
    <t>PEP</t>
  </si>
  <si>
    <t>   133.75</t>
  </si>
  <si>
    <t>Verizon Communications</t>
  </si>
  <si>
    <t>VZ</t>
  </si>
  <si>
    <t>   43.74</t>
  </si>
  <si>
    <t>Intuit Inc</t>
  </si>
  <si>
    <t>INTU</t>
  </si>
  <si>
    <t>   631.68</t>
  </si>
  <si>
    <t>Goldman Sachs Group Inc.</t>
  </si>
  <si>
    <t>GS</t>
  </si>
  <si>
    <t>   566.10</t>
  </si>
  <si>
    <t>Rtx Corporation</t>
  </si>
  <si>
    <t>RTX</t>
  </si>
  <si>
    <t>   130.21</t>
  </si>
  <si>
    <t>Uber Technologies, Inc.</t>
  </si>
  <si>
    <t>UBER</t>
  </si>
  <si>
    <t>   84.28</t>
  </si>
  <si>
    <t>Booking Holdings Inc.</t>
  </si>
  <si>
    <t>BKNG</t>
  </si>
  <si>
    <t>   5,202.80</t>
  </si>
  <si>
    <t>The Walt Disney Company</t>
  </si>
  <si>
    <t>DIS</t>
  </si>
  <si>
    <t>   92.49</t>
  </si>
  <si>
    <t>Adobe Inc.</t>
  </si>
  <si>
    <t>ADBE</t>
  </si>
  <si>
    <t>   380.87</t>
  </si>
  <si>
    <t>Progressive Corporation</t>
  </si>
  <si>
    <t>PGR</t>
  </si>
  <si>
    <t>   282.81</t>
  </si>
  <si>
    <t>Thermo Fisher Scientific, Inc.</t>
  </si>
  <si>
    <t>TMO</t>
  </si>
  <si>
    <t>   423.55</t>
  </si>
  <si>
    <t>S&amp;p Global Inc.</t>
  </si>
  <si>
    <t>SPGI</t>
  </si>
  <si>
    <t>   506.62</t>
  </si>
  <si>
    <t>Amgen Inc</t>
  </si>
  <si>
    <t>AMGN</t>
  </si>
  <si>
    <t>   281.22</t>
  </si>
  <si>
    <t>Boston Scientific Corp.</t>
  </si>
  <si>
    <t>BSX</t>
  </si>
  <si>
    <t>   104.93</t>
  </si>
  <si>
    <t>Caterpillar Inc.</t>
  </si>
  <si>
    <t>CAT</t>
  </si>
  <si>
    <t>   323.68</t>
  </si>
  <si>
    <t>American Express Company</t>
  </si>
  <si>
    <t>AXP</t>
  </si>
  <si>
    <t>   276.85</t>
  </si>
  <si>
    <t>Morgan Stanley</t>
  </si>
  <si>
    <t>MS</t>
  </si>
  <si>
    <t>   120.22</t>
  </si>
  <si>
    <t>Tjx Companies, Inc.</t>
  </si>
  <si>
    <t>TJX</t>
  </si>
  <si>
    <t>   129.21</t>
  </si>
  <si>
    <t>The Charles Schwab Corporation</t>
  </si>
  <si>
    <t>SCHW</t>
  </si>
  <si>
    <t>   83.11</t>
  </si>
  <si>
    <t>Boeing Company</t>
  </si>
  <si>
    <t>BA</t>
  </si>
  <si>
    <t>   185.46</t>
  </si>
  <si>
    <t>Honeywell International, Inc.</t>
  </si>
  <si>
    <t>HON</t>
  </si>
  <si>
    <t>   214.13</t>
  </si>
  <si>
    <t>Nextra Energy, Inc.</t>
  </si>
  <si>
    <t>NEE</t>
  </si>
  <si>
    <t>   67.09</t>
  </si>
  <si>
    <t>Pfizer Inc.</t>
  </si>
  <si>
    <t>PFE</t>
  </si>
  <si>
    <t>   24.20</t>
  </si>
  <si>
    <t>Blackrock, Inc.</t>
  </si>
  <si>
    <t>BLK</t>
  </si>
  <si>
    <t>   929.20</t>
  </si>
  <si>
    <t>Union Pacific Corp.</t>
  </si>
  <si>
    <t>UNP</t>
  </si>
  <si>
    <t>   218.29</t>
  </si>
  <si>
    <t>Gilead Sciences Inc</t>
  </si>
  <si>
    <t>GILD</t>
  </si>
  <si>
    <t>   103.68</t>
  </si>
  <si>
    <t>Stryker Corporation</t>
  </si>
  <si>
    <t>SYK</t>
  </si>
  <si>
    <t>   378.22</t>
  </si>
  <si>
    <t>Vertex Pharmaceuticals Inc</t>
  </si>
  <si>
    <t>VRTX</t>
  </si>
  <si>
    <t>   501.15</t>
  </si>
  <si>
    <t>Citigroup Inc.</t>
  </si>
  <si>
    <t>C</t>
  </si>
  <si>
    <t>   70.59</t>
  </si>
  <si>
    <t>Comcast Corp</t>
  </si>
  <si>
    <t>CMCSA</t>
  </si>
  <si>
    <t>   34.46</t>
  </si>
  <si>
    <t>Lowe's Companies Inc.</t>
  </si>
  <si>
    <t>LOW</t>
  </si>
  <si>
    <t>   227.19</t>
  </si>
  <si>
    <t>Deere &amp; Company</t>
  </si>
  <si>
    <t>DE</t>
  </si>
  <si>
    <t>   481.67</t>
  </si>
  <si>
    <t>Eaton Corporation, Plcs</t>
  </si>
  <si>
    <t>ETN</t>
  </si>
  <si>
    <t>   299.71</t>
  </si>
  <si>
    <t>T-Mobile Us, Inc.</t>
  </si>
  <si>
    <t>TMUS</t>
  </si>
  <si>
    <t>   248.88</t>
  </si>
  <si>
    <t>Conocophillips</t>
  </si>
  <si>
    <t>COP</t>
  </si>
  <si>
    <t>   91.41</t>
  </si>
  <si>
    <t>Marsh &amp; Mclennan Companies, Inc.</t>
  </si>
  <si>
    <t>MMC</t>
  </si>
  <si>
    <t>   227.29</t>
  </si>
  <si>
    <t>Medtronic Plc</t>
  </si>
  <si>
    <t>MDT</t>
  </si>
  <si>
    <t>   84.85</t>
  </si>
  <si>
    <t>Chubb Limited</t>
  </si>
  <si>
    <t>CB</t>
  </si>
  <si>
    <t>   287.31</t>
  </si>
  <si>
    <t>Ge Vernova Inc.</t>
  </si>
  <si>
    <t>GEV</t>
  </si>
  <si>
    <t>   396.32</t>
  </si>
  <si>
    <t>American Tower Corporation</t>
  </si>
  <si>
    <t>AMT</t>
  </si>
  <si>
    <t>   223.60</t>
  </si>
  <si>
    <t>Fiserv, Inc.</t>
  </si>
  <si>
    <t>FI</t>
  </si>
  <si>
    <t>   184.37</t>
  </si>
  <si>
    <t>Bristol-Myers Squibb Co.</t>
  </si>
  <si>
    <t>BMY</t>
  </si>
  <si>
    <t>   50.57</t>
  </si>
  <si>
    <t>Altria Group, Inc.</t>
  </si>
  <si>
    <t>MO</t>
  </si>
  <si>
    <t>   59.61</t>
  </si>
  <si>
    <t>The Southern Company</t>
  </si>
  <si>
    <t>SO</t>
  </si>
  <si>
    <t>   91.05</t>
  </si>
  <si>
    <t>Lockheed Martin Corp.</t>
  </si>
  <si>
    <t>LMT</t>
  </si>
  <si>
    <t>   472.80</t>
  </si>
  <si>
    <t>Duke Energy Corporation</t>
  </si>
  <si>
    <t>DUK</t>
  </si>
  <si>
    <t>   121.58</t>
  </si>
  <si>
    <t>Starbucks Corp</t>
  </si>
  <si>
    <t>SBUX</t>
  </si>
  <si>
    <t>   84.69</t>
  </si>
  <si>
    <t>Lam Research Corp</t>
  </si>
  <si>
    <t>LRCX</t>
  </si>
  <si>
    <t>   74.52</t>
  </si>
  <si>
    <t>Mckesson Corporation</t>
  </si>
  <si>
    <t>MCK</t>
  </si>
  <si>
    <t>   708.41</t>
  </si>
  <si>
    <t>Mondelez International, Inc. Class A</t>
  </si>
  <si>
    <t>MDLZ</t>
  </si>
  <si>
    <t>   67.75</t>
  </si>
  <si>
    <t>Cvs Health Corporation</t>
  </si>
  <si>
    <t>CVS</t>
  </si>
  <si>
    <t>   67.46</t>
  </si>
  <si>
    <t>Waste Management, Inc.</t>
  </si>
  <si>
    <t>WM</t>
  </si>
  <si>
    <t>   233.94</t>
  </si>
  <si>
    <t>The Sherwin-Williams Company</t>
  </si>
  <si>
    <t>SHW</t>
  </si>
  <si>
    <t>   359.64</t>
  </si>
  <si>
    <t>O'reilly Automotive, Inc.</t>
  </si>
  <si>
    <t>ORLY</t>
  </si>
  <si>
    <t>   1,406.36</t>
  </si>
  <si>
    <t>Transdigm Group Incorporated</t>
  </si>
  <si>
    <t>TDG</t>
  </si>
  <si>
    <t>   1,450.28</t>
  </si>
  <si>
    <t>Parker-Hannifin Corporation</t>
  </si>
  <si>
    <t>PH</t>
  </si>
  <si>
    <t>   619.02</t>
  </si>
  <si>
    <t>Constellation Energy Corporation</t>
  </si>
  <si>
    <t>CEG</t>
  </si>
  <si>
    <t>   247.26</t>
  </si>
  <si>
    <t>Colgate-Palmolive Company</t>
  </si>
  <si>
    <t>CL</t>
  </si>
  <si>
    <t>   90.48</t>
  </si>
  <si>
    <t>Cintas Corp</t>
  </si>
  <si>
    <t>CTAS</t>
  </si>
  <si>
    <t>   211.55</t>
  </si>
  <si>
    <t>Williams Companies Inc.</t>
  </si>
  <si>
    <t>WMB</t>
  </si>
  <si>
    <t>   60.00</t>
  </si>
  <si>
    <t>United Parcel Service, Inc. Class B</t>
  </si>
  <si>
    <t>UPS</t>
  </si>
  <si>
    <t>   96.40</t>
  </si>
  <si>
    <t>General Dynamics Corporation</t>
  </si>
  <si>
    <t>GD</t>
  </si>
  <si>
    <t>   273.03</t>
  </si>
  <si>
    <t>Chipotle Mexican Grill, Inc.</t>
  </si>
  <si>
    <t>CMG</t>
  </si>
  <si>
    <t>   51.56</t>
  </si>
  <si>
    <t>Nike, Inc.</t>
  </si>
  <si>
    <t>NKE</t>
  </si>
  <si>
    <t>   58.59</t>
  </si>
  <si>
    <t>Doordash, Inc. Class A</t>
  </si>
  <si>
    <t>DASH</t>
  </si>
  <si>
    <t>   205.09</t>
  </si>
  <si>
    <t>Illinois Tool Works Inc.</t>
  </si>
  <si>
    <t>ITW</t>
  </si>
  <si>
    <t>   242.32</t>
  </si>
  <si>
    <t>Ecolab, Inc.</t>
  </si>
  <si>
    <t>ECL</t>
  </si>
  <si>
    <t>   255.38</t>
  </si>
  <si>
    <t>Eog Resources, Inc.</t>
  </si>
  <si>
    <t>EOG</t>
  </si>
  <si>
    <t>   110.86</t>
  </si>
  <si>
    <t>Autozone, Inc.</t>
  </si>
  <si>
    <t>AZO</t>
  </si>
  <si>
    <t>   3,756.33</t>
  </si>
  <si>
    <t>Air Products &amp; Chemicals, Inc.</t>
  </si>
  <si>
    <t>APD</t>
  </si>
  <si>
    <t>   277.62</t>
  </si>
  <si>
    <t>American Electric Power Company, Inc.</t>
  </si>
  <si>
    <t>AEP</t>
  </si>
  <si>
    <t>   107.69</t>
  </si>
  <si>
    <t>Copart Inc</t>
  </si>
  <si>
    <t>CPRT</t>
  </si>
  <si>
    <t>   61.22</t>
  </si>
  <si>
    <t>Kinder Morgan, Inc.</t>
  </si>
  <si>
    <t>KMI</t>
  </si>
  <si>
    <t>   26.83</t>
  </si>
  <si>
    <t>Oneok, Inc.</t>
  </si>
  <si>
    <t>OKE</t>
  </si>
  <si>
    <t>   82.78</t>
  </si>
  <si>
    <t>Sempra</t>
  </si>
  <si>
    <t>SRE</t>
  </si>
  <si>
    <t>   75.47</t>
  </si>
  <si>
    <t>Schlumberger Limited</t>
  </si>
  <si>
    <t>SLB</t>
  </si>
  <si>
    <t>   34.73</t>
  </si>
  <si>
    <t>Paccar Inc</t>
  </si>
  <si>
    <t>PCAR</t>
  </si>
  <si>
    <t>   89.90</t>
  </si>
  <si>
    <t>Paychex Inc</t>
  </si>
  <si>
    <t>PAYX</t>
  </si>
  <si>
    <t>   149.81</t>
  </si>
  <si>
    <t>Exelon Corporation</t>
  </si>
  <si>
    <t>EXC</t>
  </si>
  <si>
    <t>   46.48</t>
  </si>
  <si>
    <t>Vistra Corp.</t>
  </si>
  <si>
    <t>VST</t>
  </si>
  <si>
    <t>   139.28</t>
  </si>
  <si>
    <t>Dominion Energy, Inc</t>
  </si>
  <si>
    <t>D</t>
  </si>
  <si>
    <t>   55.00</t>
  </si>
  <si>
    <t>Kenvue Inc.</t>
  </si>
  <si>
    <t>KVUE</t>
  </si>
  <si>
    <t>   23.98</t>
  </si>
  <si>
    <t>Marathon Petroleum Corporation</t>
  </si>
  <si>
    <t>MPC</t>
  </si>
  <si>
    <t>   141.55</t>
  </si>
  <si>
    <t>Phillips 66</t>
  </si>
  <si>
    <t>PSX</t>
  </si>
  <si>
    <t>   107.15</t>
  </si>
  <si>
    <t>Corteva, Inc.</t>
  </si>
  <si>
    <t>CTVA</t>
  </si>
  <si>
    <t>   62.63</t>
  </si>
  <si>
    <t>Monster Beverage Corporation</t>
  </si>
  <si>
    <t>MNST</t>
  </si>
  <si>
    <t>   60.05</t>
  </si>
  <si>
    <t>Keurig Dr Pepper Inc.</t>
  </si>
  <si>
    <t>KDP</t>
  </si>
  <si>
    <t>   34.41</t>
  </si>
  <si>
    <t>Ford Motor Company</t>
  </si>
  <si>
    <t>F</t>
  </si>
  <si>
    <t>   10.28</t>
  </si>
  <si>
    <t>Charter Comm Inc Del Cl a</t>
  </si>
  <si>
    <t>CHTR</t>
  </si>
  <si>
    <t>   385.00</t>
  </si>
  <si>
    <t>Valero Energy Corporation</t>
  </si>
  <si>
    <t>VLO</t>
  </si>
  <si>
    <t>   118.93</t>
  </si>
  <si>
    <t>Hess Corporation</t>
  </si>
  <si>
    <t>HES</t>
  </si>
  <si>
    <t>   132.31</t>
  </si>
  <si>
    <t>General Mills, Inc.</t>
  </si>
  <si>
    <t>GIS</t>
  </si>
  <si>
    <t>   55.43</t>
  </si>
  <si>
    <t>Lululemon Athletica Inc.</t>
  </si>
  <si>
    <t>LULU</t>
  </si>
  <si>
    <t>   277.36</t>
  </si>
  <si>
    <t>Eqt Corp</t>
  </si>
  <si>
    <t>EQT</t>
  </si>
  <si>
    <t>   51.85</t>
  </si>
  <si>
    <t>Constellation Brands, Inc.</t>
  </si>
  <si>
    <t>STZ</t>
  </si>
  <si>
    <t>   186.97</t>
  </si>
  <si>
    <t>Dupont De Nemours, Inc.</t>
  </si>
  <si>
    <t>DD</t>
  </si>
  <si>
    <t>   67.25</t>
  </si>
  <si>
    <t>Occidental Petroleum Corporation</t>
  </si>
  <si>
    <t>OXY</t>
  </si>
  <si>
    <t>   40.61</t>
  </si>
  <si>
    <t>Ppg Industries, Inc.</t>
  </si>
  <si>
    <t>PPG</t>
  </si>
  <si>
    <t>   110.49</t>
  </si>
  <si>
    <t>Diamondback Energy, Inc.</t>
  </si>
  <si>
    <t>FANG</t>
  </si>
  <si>
    <t>   136.81</t>
  </si>
  <si>
    <t>The Kraft Heinz Company</t>
  </si>
  <si>
    <t>KHC</t>
  </si>
  <si>
    <t>   28.64</t>
  </si>
  <si>
    <t>The Hershey Company</t>
  </si>
  <si>
    <t>HSY</t>
  </si>
  <si>
    <t>   163.35</t>
  </si>
  <si>
    <t>Church &amp; Dwight Co., Inc.</t>
  </si>
  <si>
    <t>CHD</t>
  </si>
  <si>
    <t>   92.94</t>
  </si>
  <si>
    <t>Dow Inc.</t>
  </si>
  <si>
    <t>DOW</t>
  </si>
  <si>
    <t>   30.42</t>
  </si>
  <si>
    <t>Amcor Plcs</t>
  </si>
  <si>
    <t>AMCR</t>
  </si>
  <si>
    <t>   9.32</t>
  </si>
  <si>
    <t>International Flavors &amp; Fragrances Inc.</t>
  </si>
  <si>
    <t>IFF</t>
  </si>
  <si>
    <t>   79.06</t>
  </si>
  <si>
    <t>Warner Bros. Discovery, Inc. Series a</t>
  </si>
  <si>
    <t>WBD</t>
  </si>
  <si>
    <t>   8.54</t>
  </si>
  <si>
    <t>Clorox Company</t>
  </si>
  <si>
    <t>CLX</t>
  </si>
  <si>
    <t>   139.08</t>
  </si>
  <si>
    <t>Aptiv Plc</t>
  </si>
  <si>
    <t>APTV</t>
  </si>
  <si>
    <t>   58.97</t>
  </si>
  <si>
    <t>Fox Corporation Class A</t>
  </si>
  <si>
    <t>FOXA</t>
  </si>
  <si>
    <t>   49.47</t>
  </si>
  <si>
    <t>The Mosaic Company</t>
  </si>
  <si>
    <t>MOS</t>
  </si>
  <si>
    <t>   30.51</t>
  </si>
  <si>
    <t>Eastman Chemical Company</t>
  </si>
  <si>
    <t>EMN</t>
  </si>
  <si>
    <t>   77.92</t>
  </si>
  <si>
    <t>A.O. Smith Corporation</t>
  </si>
  <si>
    <t>AOS</t>
  </si>
  <si>
    <t>   68.45</t>
  </si>
  <si>
    <t>Paramount Global Class B</t>
  </si>
  <si>
    <t>PARA</t>
  </si>
  <si>
    <t>   11.43</t>
  </si>
  <si>
    <t>Fox Corporation Class B</t>
  </si>
  <si>
    <t>FOX</t>
  </si>
  <si>
    <t>   46.17</t>
  </si>
  <si>
    <t>BusEq</t>
  </si>
  <si>
    <t>SIC</t>
    <phoneticPr fontId="2" type="noConversion"/>
  </si>
  <si>
    <t>7372</t>
    <phoneticPr fontId="2" type="noConversion"/>
  </si>
  <si>
    <t>3674</t>
    <phoneticPr fontId="2" type="noConversion"/>
  </si>
  <si>
    <t>5961</t>
    <phoneticPr fontId="2" type="noConversion"/>
  </si>
  <si>
    <t>Shops</t>
  </si>
  <si>
    <t>7370</t>
    <phoneticPr fontId="2" type="noConversion"/>
  </si>
  <si>
    <t>6331</t>
    <phoneticPr fontId="2" type="noConversion"/>
  </si>
  <si>
    <t>3711</t>
    <phoneticPr fontId="2" type="noConversion"/>
  </si>
  <si>
    <t>6021</t>
    <phoneticPr fontId="2" type="noConversion"/>
  </si>
  <si>
    <t>2834</t>
    <phoneticPr fontId="2" type="noConversion"/>
  </si>
  <si>
    <t>7389</t>
    <phoneticPr fontId="2" type="noConversion"/>
  </si>
  <si>
    <t>7841</t>
    <phoneticPr fontId="2" type="noConversion"/>
  </si>
  <si>
    <t>2911</t>
    <phoneticPr fontId="2" type="noConversion"/>
  </si>
  <si>
    <t>5331</t>
    <phoneticPr fontId="2" type="noConversion"/>
  </si>
  <si>
    <t>2840</t>
    <phoneticPr fontId="2" type="noConversion"/>
  </si>
  <si>
    <t>6324</t>
    <phoneticPr fontId="2" type="noConversion"/>
  </si>
  <si>
    <t>5211</t>
    <phoneticPr fontId="2" type="noConversion"/>
  </si>
  <si>
    <t>2080</t>
    <phoneticPr fontId="2" type="noConversion"/>
  </si>
  <si>
    <t>2111</t>
    <phoneticPr fontId="2" type="noConversion"/>
  </si>
  <si>
    <t>3576</t>
    <phoneticPr fontId="2" type="noConversion"/>
  </si>
  <si>
    <t>5812</t>
    <phoneticPr fontId="2" type="noConversion"/>
  </si>
  <si>
    <t>3570</t>
    <phoneticPr fontId="2" type="noConversion"/>
  </si>
  <si>
    <t>3600</t>
    <phoneticPr fontId="2" type="noConversion"/>
  </si>
  <si>
    <t>2810</t>
    <phoneticPr fontId="2" type="noConversion"/>
  </si>
  <si>
    <t>4813</t>
    <phoneticPr fontId="2" type="noConversion"/>
  </si>
  <si>
    <t>3842</t>
    <phoneticPr fontId="2" type="noConversion"/>
  </si>
  <si>
    <t>6211</t>
    <phoneticPr fontId="2" type="noConversion"/>
  </si>
  <si>
    <t>3724</t>
    <phoneticPr fontId="2" type="noConversion"/>
  </si>
  <si>
    <t>4700</t>
    <phoneticPr fontId="2" type="noConversion"/>
  </si>
  <si>
    <t>7990</t>
    <phoneticPr fontId="2" type="noConversion"/>
  </si>
  <si>
    <t>數值</t>
  </si>
  <si>
    <t>簡碼 (Code)</t>
  </si>
  <si>
    <t>NoDur</t>
  </si>
  <si>
    <t>Durbl</t>
  </si>
  <si>
    <t>Manuf</t>
  </si>
  <si>
    <t>Enrgy</t>
  </si>
  <si>
    <t>Telcm</t>
  </si>
  <si>
    <t>Utils</t>
  </si>
  <si>
    <t>Hlth</t>
  </si>
  <si>
    <t>Money</t>
  </si>
  <si>
    <t>Other</t>
  </si>
  <si>
    <t>Fama</t>
    <phoneticPr fontId="2" type="noConversion"/>
  </si>
  <si>
    <t>IndustryName</t>
    <phoneticPr fontId="2" type="noConversion"/>
  </si>
  <si>
    <t>NUM</t>
    <phoneticPr fontId="2" type="noConversion"/>
  </si>
  <si>
    <t>3829</t>
    <phoneticPr fontId="2" type="noConversion"/>
  </si>
  <si>
    <t>7320</t>
    <phoneticPr fontId="2" type="noConversion"/>
  </si>
  <si>
    <t>2836</t>
    <phoneticPr fontId="2" type="noConversion"/>
  </si>
  <si>
    <t>3841</t>
    <phoneticPr fontId="2" type="noConversion"/>
  </si>
  <si>
    <t>3531</t>
    <phoneticPr fontId="2" type="noConversion"/>
  </si>
  <si>
    <t>6199</t>
    <phoneticPr fontId="2" type="noConversion"/>
  </si>
  <si>
    <t>5651</t>
    <phoneticPr fontId="2" type="noConversion"/>
  </si>
  <si>
    <t>3721</t>
    <phoneticPr fontId="2" type="noConversion"/>
  </si>
  <si>
    <t>4911</t>
    <phoneticPr fontId="2" type="noConversion"/>
  </si>
  <si>
    <t>4011</t>
    <phoneticPr fontId="2" type="noConversion"/>
  </si>
  <si>
    <t>4841</t>
    <phoneticPr fontId="2" type="noConversion"/>
  </si>
  <si>
    <t>3523</t>
    <phoneticPr fontId="2" type="noConversion"/>
  </si>
  <si>
    <t>3590</t>
    <phoneticPr fontId="2" type="noConversion"/>
  </si>
  <si>
    <t>4812</t>
    <phoneticPr fontId="2" type="noConversion"/>
  </si>
  <si>
    <t>6411</t>
    <phoneticPr fontId="2" type="noConversion"/>
  </si>
  <si>
    <t>3845</t>
    <phoneticPr fontId="2" type="noConversion"/>
  </si>
  <si>
    <t>6798</t>
    <phoneticPr fontId="2" type="noConversion"/>
  </si>
  <si>
    <t>3760</t>
    <phoneticPr fontId="2" type="noConversion"/>
  </si>
  <si>
    <t>4931</t>
    <phoneticPr fontId="2" type="noConversion"/>
  </si>
  <si>
    <t>5810</t>
    <phoneticPr fontId="2" type="noConversion"/>
  </si>
  <si>
    <t>3559</t>
    <phoneticPr fontId="2" type="noConversion"/>
  </si>
  <si>
    <t>5122</t>
    <phoneticPr fontId="2" type="noConversion"/>
  </si>
  <si>
    <t>2000</t>
    <phoneticPr fontId="2" type="noConversion"/>
  </si>
  <si>
    <t>5912</t>
    <phoneticPr fontId="2" type="noConversion"/>
  </si>
  <si>
    <t>4953</t>
    <phoneticPr fontId="2" type="noConversion"/>
  </si>
  <si>
    <t>5200</t>
    <phoneticPr fontId="2" type="noConversion"/>
  </si>
  <si>
    <t>5531</t>
    <phoneticPr fontId="2" type="noConversion"/>
  </si>
  <si>
    <t>3728</t>
    <phoneticPr fontId="2" type="noConversion"/>
  </si>
  <si>
    <t>3490</t>
    <phoneticPr fontId="2" type="noConversion"/>
  </si>
  <si>
    <t>2844</t>
    <phoneticPr fontId="2" type="noConversion"/>
  </si>
  <si>
    <t>2320</t>
    <phoneticPr fontId="2" type="noConversion"/>
  </si>
  <si>
    <t>4922</t>
    <phoneticPr fontId="2" type="noConversion"/>
  </si>
  <si>
    <t>4210</t>
    <phoneticPr fontId="2" type="noConversion"/>
  </si>
  <si>
    <t>3730</t>
    <phoneticPr fontId="2" type="noConversion"/>
  </si>
  <si>
    <t>3021</t>
    <phoneticPr fontId="2" type="noConversion"/>
  </si>
  <si>
    <t>3560</t>
    <phoneticPr fontId="2" type="noConversion"/>
  </si>
  <si>
    <t>1311</t>
    <phoneticPr fontId="2" type="noConversion"/>
  </si>
  <si>
    <t>5500</t>
    <phoneticPr fontId="2" type="noConversion"/>
  </si>
  <si>
    <t>4923</t>
    <phoneticPr fontId="2" type="noConversion"/>
  </si>
  <si>
    <t>4932</t>
    <phoneticPr fontId="2" type="noConversion"/>
  </si>
  <si>
    <t>1389</t>
    <phoneticPr fontId="2" type="noConversion"/>
  </si>
  <si>
    <t>8700</t>
    <phoneticPr fontId="2" type="noConversion"/>
  </si>
  <si>
    <t>Chems</t>
    <phoneticPr fontId="2" type="noConversion"/>
  </si>
  <si>
    <t>0100</t>
    <phoneticPr fontId="2" type="noConversion"/>
  </si>
  <si>
    <t>2086</t>
    <phoneticPr fontId="2" type="noConversion"/>
  </si>
  <si>
    <t>2040</t>
    <phoneticPr fontId="2" type="noConversion"/>
  </si>
  <si>
    <t>2300</t>
    <phoneticPr fontId="2" type="noConversion"/>
  </si>
  <si>
    <t>2821</t>
    <phoneticPr fontId="2" type="noConversion"/>
  </si>
  <si>
    <t>2851</t>
    <phoneticPr fontId="2" type="noConversion"/>
  </si>
  <si>
    <t>2030</t>
    <phoneticPr fontId="2" type="noConversion"/>
  </si>
  <si>
    <t>2060</t>
    <phoneticPr fontId="2" type="noConversion"/>
  </si>
  <si>
    <t>3990</t>
    <phoneticPr fontId="2" type="noConversion"/>
  </si>
  <si>
    <t>2860</t>
    <phoneticPr fontId="2" type="noConversion"/>
  </si>
  <si>
    <t>2842</t>
    <phoneticPr fontId="2" type="noConversion"/>
  </si>
  <si>
    <t>2870</t>
    <phoneticPr fontId="2" type="noConversion"/>
  </si>
  <si>
    <t>3714</t>
    <phoneticPr fontId="2" type="noConversion"/>
  </si>
  <si>
    <t>4833</t>
    <phoneticPr fontId="2" type="noConversion"/>
  </si>
  <si>
    <t>3630</t>
    <phoneticPr fontId="2" type="noConversion"/>
  </si>
  <si>
    <t>the 8th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</si>
</sst>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373A3C"/>
      <name val="Malgun Gothic Semilight"/>
      <family val="2"/>
      <charset val="136"/>
    </font>
    <font>
      <sz val="10"/>
      <color theme="1"/>
      <name val="Malgun Gothic Semilight"/>
      <family val="2"/>
      <charset val="136"/>
    </font>
    <font>
      <sz val="10"/>
      <color rgb="FF373A3C"/>
      <name val="Malgun Gothic Semilight"/>
      <family val="2"/>
      <charset val="136"/>
    </font>
    <font>
      <u/>
      <sz val="10"/>
      <color theme="10"/>
      <name val="Malgun Gothic Semilight"/>
      <family val="2"/>
      <charset val="136"/>
    </font>
    <font>
      <b/>
      <sz val="10"/>
      <color theme="1"/>
      <name val="Malgun Gothic Semilight"/>
      <family val="2"/>
      <charset val="136"/>
    </font>
    <font>
      <sz val="10"/>
      <color rgb="FF111827"/>
      <name val="Arial"/>
      <family val="2"/>
    </font>
    <font>
      <b/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3" fillId="2" borderId="0" xfId="0" applyFont="1" applyFill="1" applyAlignment="1">
      <alignment horizontal="center" wrapText="1"/>
    </xf>
    <xf numFmtId="0" fontId="4" fillId="0" borderId="0" xfId="0" applyFont="1">
      <alignment vertical="center"/>
    </xf>
    <xf numFmtId="0" fontId="5" fillId="2" borderId="0" xfId="0" applyFont="1" applyFill="1" applyAlignment="1">
      <alignment vertical="top" wrapText="1"/>
    </xf>
    <xf numFmtId="0" fontId="6" fillId="2" borderId="0" xfId="1" applyFont="1" applyFill="1" applyAlignment="1">
      <alignment vertical="top"/>
    </xf>
    <xf numFmtId="0" fontId="6" fillId="2" borderId="0" xfId="1" applyFont="1" applyFill="1" applyAlignment="1">
      <alignment vertical="top" wrapText="1"/>
    </xf>
    <xf numFmtId="10" fontId="5" fillId="2" borderId="0" xfId="0" applyNumberFormat="1" applyFont="1" applyFill="1" applyAlignment="1">
      <alignment vertical="top" wrapText="1"/>
    </xf>
    <xf numFmtId="0" fontId="5" fillId="2" borderId="0" xfId="0" applyFont="1" applyFill="1" applyAlignment="1">
      <alignment vertical="top"/>
    </xf>
    <xf numFmtId="49" fontId="7" fillId="2" borderId="0" xfId="0" applyNumberFormat="1" applyFont="1" applyFill="1" applyAlignment="1">
      <alignment horizontal="center" wrapText="1"/>
    </xf>
    <xf numFmtId="0" fontId="8" fillId="0" borderId="0" xfId="0" applyFont="1" applyAlignment="1">
      <alignment horizontal="left" vertical="center"/>
    </xf>
    <xf numFmtId="49" fontId="4" fillId="2" borderId="0" xfId="1" applyNumberFormat="1" applyFont="1" applyFill="1" applyAlignment="1">
      <alignment horizontal="left" vertical="top" wrapText="1"/>
    </xf>
    <xf numFmtId="49" fontId="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9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vertical="center" wrapText="1"/>
    </xf>
    <xf numFmtId="176" fontId="4" fillId="0" borderId="0" xfId="0" applyNumberFormat="1" applyFont="1">
      <alignment vertical="center"/>
    </xf>
    <xf numFmtId="0" fontId="5" fillId="3" borderId="0" xfId="0" applyFont="1" applyFill="1" applyAlignment="1">
      <alignment vertical="top" wrapText="1"/>
    </xf>
    <xf numFmtId="0" fontId="6" fillId="3" borderId="0" xfId="1" applyFont="1" applyFill="1" applyAlignment="1">
      <alignment vertical="top"/>
    </xf>
    <xf numFmtId="0" fontId="6" fillId="3" borderId="0" xfId="1" applyFont="1" applyFill="1" applyAlignment="1">
      <alignment vertical="top" wrapText="1"/>
    </xf>
    <xf numFmtId="49" fontId="4" fillId="3" borderId="0" xfId="1" applyNumberFormat="1" applyFont="1" applyFill="1" applyAlignment="1">
      <alignment horizontal="left" vertical="top" wrapText="1"/>
    </xf>
    <xf numFmtId="0" fontId="5" fillId="3" borderId="0" xfId="0" applyFont="1" applyFill="1" applyAlignment="1">
      <alignment vertical="top"/>
    </xf>
    <xf numFmtId="0" fontId="4" fillId="3" borderId="0" xfId="0" applyFont="1" applyFill="1">
      <alignment vertical="center"/>
    </xf>
    <xf numFmtId="10" fontId="5" fillId="3" borderId="0" xfId="0" applyNumberFormat="1" applyFont="1" applyFill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6" fillId="0" borderId="0" xfId="1" applyFont="1" applyFill="1" applyAlignment="1">
      <alignment vertical="top"/>
    </xf>
    <xf numFmtId="0" fontId="6" fillId="0" borderId="0" xfId="1" applyFont="1" applyFill="1" applyAlignment="1">
      <alignment vertical="top" wrapText="1"/>
    </xf>
    <xf numFmtId="49" fontId="4" fillId="0" borderId="0" xfId="1" applyNumberFormat="1" applyFont="1" applyFill="1" applyAlignment="1">
      <alignment horizontal="left" vertical="top" wrapText="1"/>
    </xf>
    <xf numFmtId="0" fontId="5" fillId="0" borderId="0" xfId="0" applyFont="1" applyFill="1" applyAlignment="1">
      <alignment vertical="top"/>
    </xf>
    <xf numFmtId="0" fontId="4" fillId="0" borderId="0" xfId="0" applyFont="1" applyFill="1">
      <alignment vertical="center"/>
    </xf>
    <xf numFmtId="10" fontId="5" fillId="0" borderId="0" xfId="0" applyNumberFormat="1" applyFont="1" applyFill="1" applyAlignment="1">
      <alignment vertical="top" wrapText="1"/>
    </xf>
    <xf numFmtId="176" fontId="4" fillId="0" borderId="0" xfId="0" applyNumberFormat="1" applyFont="1" applyFill="1">
      <alignment vertical="center"/>
    </xf>
    <xf numFmtId="0" fontId="0" fillId="3" borderId="0" xfId="0" applyFill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6" fillId="2" borderId="1" xfId="1" applyFont="1" applyFill="1" applyBorder="1" applyAlignment="1">
      <alignment vertical="top"/>
    </xf>
    <xf numFmtId="0" fontId="6" fillId="2" borderId="1" xfId="1" applyFont="1" applyFill="1" applyBorder="1" applyAlignment="1">
      <alignment vertical="top" wrapText="1"/>
    </xf>
    <xf numFmtId="49" fontId="4" fillId="2" borderId="1" xfId="1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/>
    </xf>
    <xf numFmtId="0" fontId="4" fillId="0" borderId="1" xfId="0" applyFont="1" applyBorder="1">
      <alignment vertical="center"/>
    </xf>
    <xf numFmtId="10" fontId="5" fillId="2" borderId="1" xfId="0" applyNumberFormat="1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6" fillId="2" borderId="2" xfId="1" applyFont="1" applyFill="1" applyBorder="1" applyAlignment="1">
      <alignment vertical="top"/>
    </xf>
    <xf numFmtId="0" fontId="6" fillId="2" borderId="2" xfId="1" applyFont="1" applyFill="1" applyBorder="1" applyAlignment="1">
      <alignment vertical="top" wrapText="1"/>
    </xf>
    <xf numFmtId="49" fontId="4" fillId="2" borderId="2" xfId="1" applyNumberFormat="1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vertical="top"/>
    </xf>
    <xf numFmtId="0" fontId="4" fillId="0" borderId="2" xfId="0" applyFont="1" applyBorder="1">
      <alignment vertical="center"/>
    </xf>
    <xf numFmtId="10" fontId="5" fillId="2" borderId="2" xfId="0" applyNumberFormat="1" applyFont="1" applyFill="1" applyBorder="1" applyAlignment="1">
      <alignment vertical="top" wrapText="1"/>
    </xf>
    <xf numFmtId="176" fontId="4" fillId="0" borderId="1" xfId="0" applyNumberFormat="1" applyFont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88900</xdr:colOff>
      <xdr:row>1</xdr:row>
      <xdr:rowOff>50800</xdr:rowOff>
    </xdr:to>
    <xdr:pic>
      <xdr:nvPicPr>
        <xdr:cNvPr id="2" name="圖片 1" descr="https://www.slickcharts.com/img/down.gif">
          <a:extLst>
            <a:ext uri="{FF2B5EF4-FFF2-40B4-BE49-F238E27FC236}">
              <a16:creationId xmlns:a16="http://schemas.microsoft.com/office/drawing/2014/main" id="{25285D0B-B703-4B80-AC69-14E55757C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1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88900</xdr:colOff>
      <xdr:row>2</xdr:row>
      <xdr:rowOff>50800</xdr:rowOff>
    </xdr:to>
    <xdr:pic>
      <xdr:nvPicPr>
        <xdr:cNvPr id="3" name="圖片 2" descr="https://www.slickcharts.com/img/up.gif">
          <a:extLst>
            <a:ext uri="{FF2B5EF4-FFF2-40B4-BE49-F238E27FC236}">
              <a16:creationId xmlns:a16="http://schemas.microsoft.com/office/drawing/2014/main" id="{B2A53388-7A03-4FEB-9BB9-6DC12730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31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88900</xdr:colOff>
      <xdr:row>3</xdr:row>
      <xdr:rowOff>50800</xdr:rowOff>
    </xdr:to>
    <xdr:pic>
      <xdr:nvPicPr>
        <xdr:cNvPr id="4" name="圖片 3" descr="https://www.slickcharts.com/img/up.gif">
          <a:extLst>
            <a:ext uri="{FF2B5EF4-FFF2-40B4-BE49-F238E27FC236}">
              <a16:creationId xmlns:a16="http://schemas.microsoft.com/office/drawing/2014/main" id="{1679C16D-3204-4F06-AC95-8C89C908E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47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88900</xdr:colOff>
      <xdr:row>4</xdr:row>
      <xdr:rowOff>50800</xdr:rowOff>
    </xdr:to>
    <xdr:pic>
      <xdr:nvPicPr>
        <xdr:cNvPr id="5" name="圖片 4" descr="https://www.slickcharts.com/img/down.gif">
          <a:extLst>
            <a:ext uri="{FF2B5EF4-FFF2-40B4-BE49-F238E27FC236}">
              <a16:creationId xmlns:a16="http://schemas.microsoft.com/office/drawing/2014/main" id="{3379D8CA-0B1A-4691-8B86-F83FC9591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63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88900</xdr:colOff>
      <xdr:row>5</xdr:row>
      <xdr:rowOff>50800</xdr:rowOff>
    </xdr:to>
    <xdr:pic>
      <xdr:nvPicPr>
        <xdr:cNvPr id="6" name="圖片 5" descr="https://www.slickcharts.com/img/up.gif">
          <a:extLst>
            <a:ext uri="{FF2B5EF4-FFF2-40B4-BE49-F238E27FC236}">
              <a16:creationId xmlns:a16="http://schemas.microsoft.com/office/drawing/2014/main" id="{AFF2B80F-622F-4BE4-84A5-2C2E9C766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7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88900</xdr:colOff>
      <xdr:row>6</xdr:row>
      <xdr:rowOff>50800</xdr:rowOff>
    </xdr:to>
    <xdr:pic>
      <xdr:nvPicPr>
        <xdr:cNvPr id="7" name="圖片 6" descr="https://www.slickcharts.com/img/up.gif">
          <a:extLst>
            <a:ext uri="{FF2B5EF4-FFF2-40B4-BE49-F238E27FC236}">
              <a16:creationId xmlns:a16="http://schemas.microsoft.com/office/drawing/2014/main" id="{8D1857FC-9347-4F06-AF26-1BA96D69D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295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88900</xdr:colOff>
      <xdr:row>7</xdr:row>
      <xdr:rowOff>50800</xdr:rowOff>
    </xdr:to>
    <xdr:pic>
      <xdr:nvPicPr>
        <xdr:cNvPr id="8" name="圖片 7" descr="https://www.slickcharts.com/img/up.gif">
          <a:extLst>
            <a:ext uri="{FF2B5EF4-FFF2-40B4-BE49-F238E27FC236}">
              <a16:creationId xmlns:a16="http://schemas.microsoft.com/office/drawing/2014/main" id="{B31DB772-A608-4F45-BC91-6A7C9BF5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511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88900</xdr:colOff>
      <xdr:row>8</xdr:row>
      <xdr:rowOff>50800</xdr:rowOff>
    </xdr:to>
    <xdr:pic>
      <xdr:nvPicPr>
        <xdr:cNvPr id="9" name="圖片 8" descr="https://www.slickcharts.com/img/up.gif">
          <a:extLst>
            <a:ext uri="{FF2B5EF4-FFF2-40B4-BE49-F238E27FC236}">
              <a16:creationId xmlns:a16="http://schemas.microsoft.com/office/drawing/2014/main" id="{89C928E6-0F42-4929-B08D-BE7F10515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727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88900</xdr:colOff>
      <xdr:row>9</xdr:row>
      <xdr:rowOff>50800</xdr:rowOff>
    </xdr:to>
    <xdr:pic>
      <xdr:nvPicPr>
        <xdr:cNvPr id="10" name="圖片 9" descr="https://www.slickcharts.com/img/up.gif">
          <a:extLst>
            <a:ext uri="{FF2B5EF4-FFF2-40B4-BE49-F238E27FC236}">
              <a16:creationId xmlns:a16="http://schemas.microsoft.com/office/drawing/2014/main" id="{068B075F-8CDF-4F23-9E8D-C4707C687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4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88900</xdr:colOff>
      <xdr:row>108</xdr:row>
      <xdr:rowOff>50800</xdr:rowOff>
    </xdr:to>
    <xdr:pic>
      <xdr:nvPicPr>
        <xdr:cNvPr id="11" name="圖片 10" descr="https://www.slickcharts.com/img/up.gif">
          <a:extLst>
            <a:ext uri="{FF2B5EF4-FFF2-40B4-BE49-F238E27FC236}">
              <a16:creationId xmlns:a16="http://schemas.microsoft.com/office/drawing/2014/main" id="{C13E09C5-4FBB-48C6-879C-8EFA60F33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159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88900</xdr:colOff>
      <xdr:row>10</xdr:row>
      <xdr:rowOff>50800</xdr:rowOff>
    </xdr:to>
    <xdr:pic>
      <xdr:nvPicPr>
        <xdr:cNvPr id="12" name="圖片 11" descr="https://www.slickcharts.com/img/up.gif">
          <a:extLst>
            <a:ext uri="{FF2B5EF4-FFF2-40B4-BE49-F238E27FC236}">
              <a16:creationId xmlns:a16="http://schemas.microsoft.com/office/drawing/2014/main" id="{150DB10D-39E1-4CB9-BAC7-862EFA72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374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88900</xdr:colOff>
      <xdr:row>11</xdr:row>
      <xdr:rowOff>50800</xdr:rowOff>
    </xdr:to>
    <xdr:pic>
      <xdr:nvPicPr>
        <xdr:cNvPr id="13" name="圖片 12" descr="https://www.slickcharts.com/img/up.gif">
          <a:extLst>
            <a:ext uri="{FF2B5EF4-FFF2-40B4-BE49-F238E27FC236}">
              <a16:creationId xmlns:a16="http://schemas.microsoft.com/office/drawing/2014/main" id="{0580AD39-A30C-4AE7-A108-16D96F6B5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590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88900</xdr:colOff>
      <xdr:row>94</xdr:row>
      <xdr:rowOff>50800</xdr:rowOff>
    </xdr:to>
    <xdr:pic>
      <xdr:nvPicPr>
        <xdr:cNvPr id="14" name="圖片 13" descr="https://www.slickcharts.com/img/up.gif">
          <a:extLst>
            <a:ext uri="{FF2B5EF4-FFF2-40B4-BE49-F238E27FC236}">
              <a16:creationId xmlns:a16="http://schemas.microsoft.com/office/drawing/2014/main" id="{5916E3AD-7D45-4F0D-B8B9-5F6417F3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80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88900</xdr:colOff>
      <xdr:row>95</xdr:row>
      <xdr:rowOff>50800</xdr:rowOff>
    </xdr:to>
    <xdr:pic>
      <xdr:nvPicPr>
        <xdr:cNvPr id="15" name="圖片 14" descr="https://www.slickcharts.com/img/up.gif">
          <a:extLst>
            <a:ext uri="{FF2B5EF4-FFF2-40B4-BE49-F238E27FC236}">
              <a16:creationId xmlns:a16="http://schemas.microsoft.com/office/drawing/2014/main" id="{36B2AEF5-E46C-41C7-8FD5-CF17762D0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00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88900</xdr:colOff>
      <xdr:row>12</xdr:row>
      <xdr:rowOff>50800</xdr:rowOff>
    </xdr:to>
    <xdr:pic>
      <xdr:nvPicPr>
        <xdr:cNvPr id="16" name="圖片 15" descr="https://www.slickcharts.com/img/up.gif">
          <a:extLst>
            <a:ext uri="{FF2B5EF4-FFF2-40B4-BE49-F238E27FC236}">
              <a16:creationId xmlns:a16="http://schemas.microsoft.com/office/drawing/2014/main" id="{4BAFE764-F4DC-48D5-976E-C38C38CC2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21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88900</xdr:colOff>
      <xdr:row>96</xdr:row>
      <xdr:rowOff>50800</xdr:rowOff>
    </xdr:to>
    <xdr:pic>
      <xdr:nvPicPr>
        <xdr:cNvPr id="17" name="圖片 16" descr="https://www.slickcharts.com/img/up.gif">
          <a:extLst>
            <a:ext uri="{FF2B5EF4-FFF2-40B4-BE49-F238E27FC236}">
              <a16:creationId xmlns:a16="http://schemas.microsoft.com/office/drawing/2014/main" id="{F7D593A5-E7D2-4FE0-B58E-D744456B2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41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88900</xdr:colOff>
      <xdr:row>13</xdr:row>
      <xdr:rowOff>50800</xdr:rowOff>
    </xdr:to>
    <xdr:pic>
      <xdr:nvPicPr>
        <xdr:cNvPr id="18" name="圖片 17" descr="https://www.slickcharts.com/img/up.gif">
          <a:extLst>
            <a:ext uri="{FF2B5EF4-FFF2-40B4-BE49-F238E27FC236}">
              <a16:creationId xmlns:a16="http://schemas.microsoft.com/office/drawing/2014/main" id="{8DC9B93B-A57D-477D-9528-A46468ABC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61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88900</xdr:colOff>
      <xdr:row>14</xdr:row>
      <xdr:rowOff>50800</xdr:rowOff>
    </xdr:to>
    <xdr:pic>
      <xdr:nvPicPr>
        <xdr:cNvPr id="19" name="圖片 18" descr="https://www.slickcharts.com/img/up.gif">
          <a:extLst>
            <a:ext uri="{FF2B5EF4-FFF2-40B4-BE49-F238E27FC236}">
              <a16:creationId xmlns:a16="http://schemas.microsoft.com/office/drawing/2014/main" id="{F45F587F-C1AF-4B79-9515-63D61EDF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82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88900</xdr:colOff>
      <xdr:row>15</xdr:row>
      <xdr:rowOff>50800</xdr:rowOff>
    </xdr:to>
    <xdr:pic>
      <xdr:nvPicPr>
        <xdr:cNvPr id="20" name="圖片 19" descr="https://www.slickcharts.com/img/up.gif">
          <a:extLst>
            <a:ext uri="{FF2B5EF4-FFF2-40B4-BE49-F238E27FC236}">
              <a16:creationId xmlns:a16="http://schemas.microsoft.com/office/drawing/2014/main" id="{E53BD7DA-8384-4C7A-AF0F-E28F0B8C8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02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88900</xdr:colOff>
      <xdr:row>16</xdr:row>
      <xdr:rowOff>50800</xdr:rowOff>
    </xdr:to>
    <xdr:pic>
      <xdr:nvPicPr>
        <xdr:cNvPr id="21" name="圖片 20" descr="https://www.slickcharts.com/img/up.gif">
          <a:extLst>
            <a:ext uri="{FF2B5EF4-FFF2-40B4-BE49-F238E27FC236}">
              <a16:creationId xmlns:a16="http://schemas.microsoft.com/office/drawing/2014/main" id="{664EE954-0665-498F-B996-CAA8F15CD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22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88900</xdr:colOff>
      <xdr:row>17</xdr:row>
      <xdr:rowOff>50800</xdr:rowOff>
    </xdr:to>
    <xdr:pic>
      <xdr:nvPicPr>
        <xdr:cNvPr id="22" name="圖片 21" descr="https://www.slickcharts.com/img/down.gif">
          <a:extLst>
            <a:ext uri="{FF2B5EF4-FFF2-40B4-BE49-F238E27FC236}">
              <a16:creationId xmlns:a16="http://schemas.microsoft.com/office/drawing/2014/main" id="{810C3321-ECCA-4386-BD71-9A606B08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43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88900</xdr:colOff>
      <xdr:row>18</xdr:row>
      <xdr:rowOff>50800</xdr:rowOff>
    </xdr:to>
    <xdr:pic>
      <xdr:nvPicPr>
        <xdr:cNvPr id="23" name="圖片 22" descr="https://www.slickcharts.com/img/up.gif">
          <a:extLst>
            <a:ext uri="{FF2B5EF4-FFF2-40B4-BE49-F238E27FC236}">
              <a16:creationId xmlns:a16="http://schemas.microsoft.com/office/drawing/2014/main" id="{4E39ECD0-7AE0-47E8-B055-261F1C6C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63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88900</xdr:colOff>
      <xdr:row>19</xdr:row>
      <xdr:rowOff>50800</xdr:rowOff>
    </xdr:to>
    <xdr:pic>
      <xdr:nvPicPr>
        <xdr:cNvPr id="24" name="圖片 23" descr="https://www.slickcharts.com/img/up.gif">
          <a:extLst>
            <a:ext uri="{FF2B5EF4-FFF2-40B4-BE49-F238E27FC236}">
              <a16:creationId xmlns:a16="http://schemas.microsoft.com/office/drawing/2014/main" id="{6F5A16BC-4266-48E6-A905-D209C4699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83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88900</xdr:colOff>
      <xdr:row>20</xdr:row>
      <xdr:rowOff>50800</xdr:rowOff>
    </xdr:to>
    <xdr:pic>
      <xdr:nvPicPr>
        <xdr:cNvPr id="25" name="圖片 24" descr="https://www.slickcharts.com/img/up.gif">
          <a:extLst>
            <a:ext uri="{FF2B5EF4-FFF2-40B4-BE49-F238E27FC236}">
              <a16:creationId xmlns:a16="http://schemas.microsoft.com/office/drawing/2014/main" id="{451FD8E4-9D12-4E62-973A-1E4D1C2E7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04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88900</xdr:colOff>
      <xdr:row>21</xdr:row>
      <xdr:rowOff>50800</xdr:rowOff>
    </xdr:to>
    <xdr:pic>
      <xdr:nvPicPr>
        <xdr:cNvPr id="26" name="圖片 25" descr="https://www.slickcharts.com/img/up.gif">
          <a:extLst>
            <a:ext uri="{FF2B5EF4-FFF2-40B4-BE49-F238E27FC236}">
              <a16:creationId xmlns:a16="http://schemas.microsoft.com/office/drawing/2014/main" id="{5D27F5DA-A9DC-4D4A-84D1-D3C5C76CD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24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88900</xdr:colOff>
      <xdr:row>22</xdr:row>
      <xdr:rowOff>50800</xdr:rowOff>
    </xdr:to>
    <xdr:pic>
      <xdr:nvPicPr>
        <xdr:cNvPr id="27" name="圖片 26" descr="https://www.slickcharts.com/img/up.gif">
          <a:extLst>
            <a:ext uri="{FF2B5EF4-FFF2-40B4-BE49-F238E27FC236}">
              <a16:creationId xmlns:a16="http://schemas.microsoft.com/office/drawing/2014/main" id="{CD625410-36B7-49D9-A999-C8000E10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44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88900</xdr:colOff>
      <xdr:row>23</xdr:row>
      <xdr:rowOff>50800</xdr:rowOff>
    </xdr:to>
    <xdr:pic>
      <xdr:nvPicPr>
        <xdr:cNvPr id="28" name="圖片 27" descr="https://www.slickcharts.com/img/up.gif">
          <a:extLst>
            <a:ext uri="{FF2B5EF4-FFF2-40B4-BE49-F238E27FC236}">
              <a16:creationId xmlns:a16="http://schemas.microsoft.com/office/drawing/2014/main" id="{FB501EF7-CAAD-4FED-8D79-52FC642BE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65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88900</xdr:colOff>
      <xdr:row>24</xdr:row>
      <xdr:rowOff>50800</xdr:rowOff>
    </xdr:to>
    <xdr:pic>
      <xdr:nvPicPr>
        <xdr:cNvPr id="29" name="圖片 28" descr="https://www.slickcharts.com/img/up.gif">
          <a:extLst>
            <a:ext uri="{FF2B5EF4-FFF2-40B4-BE49-F238E27FC236}">
              <a16:creationId xmlns:a16="http://schemas.microsoft.com/office/drawing/2014/main" id="{596FC7E5-58F8-4A8F-BF3B-19CD1C29B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85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88900</xdr:colOff>
      <xdr:row>25</xdr:row>
      <xdr:rowOff>50800</xdr:rowOff>
    </xdr:to>
    <xdr:pic>
      <xdr:nvPicPr>
        <xdr:cNvPr id="30" name="圖片 29" descr="https://www.slickcharts.com/img/up.gif">
          <a:extLst>
            <a:ext uri="{FF2B5EF4-FFF2-40B4-BE49-F238E27FC236}">
              <a16:creationId xmlns:a16="http://schemas.microsoft.com/office/drawing/2014/main" id="{C962CDBD-AE05-4E2F-AD86-9F4C7F55B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05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88900</xdr:colOff>
      <xdr:row>26</xdr:row>
      <xdr:rowOff>50800</xdr:rowOff>
    </xdr:to>
    <xdr:pic>
      <xdr:nvPicPr>
        <xdr:cNvPr id="31" name="圖片 30" descr="https://www.slickcharts.com/img/up.gif">
          <a:extLst>
            <a:ext uri="{FF2B5EF4-FFF2-40B4-BE49-F238E27FC236}">
              <a16:creationId xmlns:a16="http://schemas.microsoft.com/office/drawing/2014/main" id="{A27A0888-C057-4C6A-8E03-065C3D96F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26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88900</xdr:colOff>
      <xdr:row>26</xdr:row>
      <xdr:rowOff>50800</xdr:rowOff>
    </xdr:to>
    <xdr:pic>
      <xdr:nvPicPr>
        <xdr:cNvPr id="32" name="圖片 31" descr="https://www.slickcharts.com/img/up.gif">
          <a:extLst>
            <a:ext uri="{FF2B5EF4-FFF2-40B4-BE49-F238E27FC236}">
              <a16:creationId xmlns:a16="http://schemas.microsoft.com/office/drawing/2014/main" id="{EF9CAE37-D59A-409A-829C-E042B588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46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88900</xdr:colOff>
      <xdr:row>26</xdr:row>
      <xdr:rowOff>50800</xdr:rowOff>
    </xdr:to>
    <xdr:pic>
      <xdr:nvPicPr>
        <xdr:cNvPr id="33" name="圖片 32" descr="https://www.slickcharts.com/img/up.gif">
          <a:extLst>
            <a:ext uri="{FF2B5EF4-FFF2-40B4-BE49-F238E27FC236}">
              <a16:creationId xmlns:a16="http://schemas.microsoft.com/office/drawing/2014/main" id="{2789D693-A6A2-477D-B70F-84EDEBDB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66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88900</xdr:colOff>
      <xdr:row>27</xdr:row>
      <xdr:rowOff>50800</xdr:rowOff>
    </xdr:to>
    <xdr:pic>
      <xdr:nvPicPr>
        <xdr:cNvPr id="34" name="圖片 33" descr="https://www.slickcharts.com/img/up.gif">
          <a:extLst>
            <a:ext uri="{FF2B5EF4-FFF2-40B4-BE49-F238E27FC236}">
              <a16:creationId xmlns:a16="http://schemas.microsoft.com/office/drawing/2014/main" id="{3FB482BC-7D75-4989-B50D-5D0778B18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87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88900</xdr:colOff>
      <xdr:row>28</xdr:row>
      <xdr:rowOff>50800</xdr:rowOff>
    </xdr:to>
    <xdr:pic>
      <xdr:nvPicPr>
        <xdr:cNvPr id="35" name="圖片 34" descr="https://www.slickcharts.com/img/down.gif">
          <a:extLst>
            <a:ext uri="{FF2B5EF4-FFF2-40B4-BE49-F238E27FC236}">
              <a16:creationId xmlns:a16="http://schemas.microsoft.com/office/drawing/2014/main" id="{95CBAD96-2136-4F6C-98F2-31C1368FC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07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88900</xdr:colOff>
      <xdr:row>29</xdr:row>
      <xdr:rowOff>50800</xdr:rowOff>
    </xdr:to>
    <xdr:pic>
      <xdr:nvPicPr>
        <xdr:cNvPr id="36" name="圖片 35" descr="https://www.slickcharts.com/img/up.gif">
          <a:extLst>
            <a:ext uri="{FF2B5EF4-FFF2-40B4-BE49-F238E27FC236}">
              <a16:creationId xmlns:a16="http://schemas.microsoft.com/office/drawing/2014/main" id="{AE0833DF-CC9E-48E2-8EF9-560B5489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27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88900</xdr:colOff>
      <xdr:row>29</xdr:row>
      <xdr:rowOff>50800</xdr:rowOff>
    </xdr:to>
    <xdr:pic>
      <xdr:nvPicPr>
        <xdr:cNvPr id="37" name="圖片 36" descr="https://www.slickcharts.com/img/up.gif">
          <a:extLst>
            <a:ext uri="{FF2B5EF4-FFF2-40B4-BE49-F238E27FC236}">
              <a16:creationId xmlns:a16="http://schemas.microsoft.com/office/drawing/2014/main" id="{45790DA4-C0AF-4F36-96D1-34D93B706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48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88900</xdr:colOff>
      <xdr:row>30</xdr:row>
      <xdr:rowOff>50800</xdr:rowOff>
    </xdr:to>
    <xdr:pic>
      <xdr:nvPicPr>
        <xdr:cNvPr id="38" name="圖片 37" descr="https://www.slickcharts.com/img/up.gif">
          <a:extLst>
            <a:ext uri="{FF2B5EF4-FFF2-40B4-BE49-F238E27FC236}">
              <a16:creationId xmlns:a16="http://schemas.microsoft.com/office/drawing/2014/main" id="{62897799-C777-49C0-BA30-EDA801876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68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88900</xdr:colOff>
      <xdr:row>31</xdr:row>
      <xdr:rowOff>50800</xdr:rowOff>
    </xdr:to>
    <xdr:pic>
      <xdr:nvPicPr>
        <xdr:cNvPr id="39" name="圖片 38" descr="https://www.slickcharts.com/img/down.gif">
          <a:extLst>
            <a:ext uri="{FF2B5EF4-FFF2-40B4-BE49-F238E27FC236}">
              <a16:creationId xmlns:a16="http://schemas.microsoft.com/office/drawing/2014/main" id="{03B7A52B-8AB1-442F-9B35-9EAD6BFAD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88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88900</xdr:colOff>
      <xdr:row>32</xdr:row>
      <xdr:rowOff>50800</xdr:rowOff>
    </xdr:to>
    <xdr:pic>
      <xdr:nvPicPr>
        <xdr:cNvPr id="40" name="圖片 39" descr="https://www.slickcharts.com/img/down.gif">
          <a:extLst>
            <a:ext uri="{FF2B5EF4-FFF2-40B4-BE49-F238E27FC236}">
              <a16:creationId xmlns:a16="http://schemas.microsoft.com/office/drawing/2014/main" id="{55727864-D78B-4D44-8732-A933687FB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08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88900</xdr:colOff>
      <xdr:row>97</xdr:row>
      <xdr:rowOff>50800</xdr:rowOff>
    </xdr:to>
    <xdr:pic>
      <xdr:nvPicPr>
        <xdr:cNvPr id="41" name="圖片 40" descr="https://www.slickcharts.com/img/up.gif">
          <a:extLst>
            <a:ext uri="{FF2B5EF4-FFF2-40B4-BE49-F238E27FC236}">
              <a16:creationId xmlns:a16="http://schemas.microsoft.com/office/drawing/2014/main" id="{2F3367D2-F5B5-43FF-B58E-8B8CCCEB4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29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88900</xdr:colOff>
      <xdr:row>97</xdr:row>
      <xdr:rowOff>50800</xdr:rowOff>
    </xdr:to>
    <xdr:pic>
      <xdr:nvPicPr>
        <xdr:cNvPr id="42" name="圖片 41" descr="https://www.slickcharts.com/img/up.gif">
          <a:extLst>
            <a:ext uri="{FF2B5EF4-FFF2-40B4-BE49-F238E27FC236}">
              <a16:creationId xmlns:a16="http://schemas.microsoft.com/office/drawing/2014/main" id="{8FB69F41-945D-4B4F-9063-DBB464CC3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49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88900</xdr:colOff>
      <xdr:row>33</xdr:row>
      <xdr:rowOff>50800</xdr:rowOff>
    </xdr:to>
    <xdr:pic>
      <xdr:nvPicPr>
        <xdr:cNvPr id="43" name="圖片 42" descr="https://www.slickcharts.com/img/up.gif">
          <a:extLst>
            <a:ext uri="{FF2B5EF4-FFF2-40B4-BE49-F238E27FC236}">
              <a16:creationId xmlns:a16="http://schemas.microsoft.com/office/drawing/2014/main" id="{2E1CB4F2-C9EF-49BA-BD2A-5A38CAF9C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69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88900</xdr:colOff>
      <xdr:row>34</xdr:row>
      <xdr:rowOff>50800</xdr:rowOff>
    </xdr:to>
    <xdr:pic>
      <xdr:nvPicPr>
        <xdr:cNvPr id="44" name="圖片 43" descr="https://www.slickcharts.com/img/up.gif">
          <a:extLst>
            <a:ext uri="{FF2B5EF4-FFF2-40B4-BE49-F238E27FC236}">
              <a16:creationId xmlns:a16="http://schemas.microsoft.com/office/drawing/2014/main" id="{95D0E2F0-41B0-45C5-8A75-F554A1139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90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88900</xdr:colOff>
      <xdr:row>35</xdr:row>
      <xdr:rowOff>50800</xdr:rowOff>
    </xdr:to>
    <xdr:pic>
      <xdr:nvPicPr>
        <xdr:cNvPr id="45" name="圖片 44" descr="https://www.slickcharts.com/img/up.gif">
          <a:extLst>
            <a:ext uri="{FF2B5EF4-FFF2-40B4-BE49-F238E27FC236}">
              <a16:creationId xmlns:a16="http://schemas.microsoft.com/office/drawing/2014/main" id="{0A211479-3EFF-46FC-9C05-BB4B36360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10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88900</xdr:colOff>
      <xdr:row>36</xdr:row>
      <xdr:rowOff>50800</xdr:rowOff>
    </xdr:to>
    <xdr:pic>
      <xdr:nvPicPr>
        <xdr:cNvPr id="46" name="圖片 45" descr="https://www.slickcharts.com/img/up.gif">
          <a:extLst>
            <a:ext uri="{FF2B5EF4-FFF2-40B4-BE49-F238E27FC236}">
              <a16:creationId xmlns:a16="http://schemas.microsoft.com/office/drawing/2014/main" id="{12C3A960-4673-427D-A05E-25BB922C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30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88900</xdr:colOff>
      <xdr:row>36</xdr:row>
      <xdr:rowOff>50800</xdr:rowOff>
    </xdr:to>
    <xdr:pic>
      <xdr:nvPicPr>
        <xdr:cNvPr id="47" name="圖片 46" descr="https://www.slickcharts.com/img/up.gif">
          <a:extLst>
            <a:ext uri="{FF2B5EF4-FFF2-40B4-BE49-F238E27FC236}">
              <a16:creationId xmlns:a16="http://schemas.microsoft.com/office/drawing/2014/main" id="{24F4A674-EEAB-4EF2-9C3A-21BBD49C7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51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88900</xdr:colOff>
      <xdr:row>37</xdr:row>
      <xdr:rowOff>50800</xdr:rowOff>
    </xdr:to>
    <xdr:pic>
      <xdr:nvPicPr>
        <xdr:cNvPr id="48" name="圖片 47" descr="https://www.slickcharts.com/img/up.gif">
          <a:extLst>
            <a:ext uri="{FF2B5EF4-FFF2-40B4-BE49-F238E27FC236}">
              <a16:creationId xmlns:a16="http://schemas.microsoft.com/office/drawing/2014/main" id="{5761CEFE-B4E0-4923-B969-E51E33B8F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71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88900</xdr:colOff>
      <xdr:row>98</xdr:row>
      <xdr:rowOff>50800</xdr:rowOff>
    </xdr:to>
    <xdr:pic>
      <xdr:nvPicPr>
        <xdr:cNvPr id="49" name="圖片 48" descr="https://www.slickcharts.com/img/up.gif">
          <a:extLst>
            <a:ext uri="{FF2B5EF4-FFF2-40B4-BE49-F238E27FC236}">
              <a16:creationId xmlns:a16="http://schemas.microsoft.com/office/drawing/2014/main" id="{7F4DF7A8-8B46-4834-8FFD-41170E1E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91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88900</xdr:colOff>
      <xdr:row>99</xdr:row>
      <xdr:rowOff>50800</xdr:rowOff>
    </xdr:to>
    <xdr:pic>
      <xdr:nvPicPr>
        <xdr:cNvPr id="50" name="圖片 49" descr="https://www.slickcharts.com/img/up.gif">
          <a:extLst>
            <a:ext uri="{FF2B5EF4-FFF2-40B4-BE49-F238E27FC236}">
              <a16:creationId xmlns:a16="http://schemas.microsoft.com/office/drawing/2014/main" id="{FA9963F9-A394-4AAE-967E-FC0CFE33A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12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88900</xdr:colOff>
      <xdr:row>100</xdr:row>
      <xdr:rowOff>50800</xdr:rowOff>
    </xdr:to>
    <xdr:pic>
      <xdr:nvPicPr>
        <xdr:cNvPr id="51" name="圖片 50" descr="https://www.slickcharts.com/img/up.gif">
          <a:extLst>
            <a:ext uri="{FF2B5EF4-FFF2-40B4-BE49-F238E27FC236}">
              <a16:creationId xmlns:a16="http://schemas.microsoft.com/office/drawing/2014/main" id="{82EBDFD5-E1C9-42F3-A164-9A4E1EFA2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32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88900</xdr:colOff>
      <xdr:row>32</xdr:row>
      <xdr:rowOff>50800</xdr:rowOff>
    </xdr:to>
    <xdr:pic>
      <xdr:nvPicPr>
        <xdr:cNvPr id="52" name="圖片 51" descr="https://www.slickcharts.com/img/up.gif">
          <a:extLst>
            <a:ext uri="{FF2B5EF4-FFF2-40B4-BE49-F238E27FC236}">
              <a16:creationId xmlns:a16="http://schemas.microsoft.com/office/drawing/2014/main" id="{DC0F71BF-86B4-4F48-B136-18248F67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52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88900</xdr:colOff>
      <xdr:row>38</xdr:row>
      <xdr:rowOff>50800</xdr:rowOff>
    </xdr:to>
    <xdr:pic>
      <xdr:nvPicPr>
        <xdr:cNvPr id="53" name="圖片 52" descr="https://www.slickcharts.com/img/up.gif">
          <a:extLst>
            <a:ext uri="{FF2B5EF4-FFF2-40B4-BE49-F238E27FC236}">
              <a16:creationId xmlns:a16="http://schemas.microsoft.com/office/drawing/2014/main" id="{870A0F90-E891-468C-8112-8985813BC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73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88900</xdr:colOff>
      <xdr:row>32</xdr:row>
      <xdr:rowOff>50800</xdr:rowOff>
    </xdr:to>
    <xdr:pic>
      <xdr:nvPicPr>
        <xdr:cNvPr id="54" name="圖片 53" descr="https://www.slickcharts.com/img/up.gif">
          <a:extLst>
            <a:ext uri="{FF2B5EF4-FFF2-40B4-BE49-F238E27FC236}">
              <a16:creationId xmlns:a16="http://schemas.microsoft.com/office/drawing/2014/main" id="{60FC5962-51EF-4D96-B692-3E5B4D8C8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93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88900</xdr:colOff>
      <xdr:row>101</xdr:row>
      <xdr:rowOff>50800</xdr:rowOff>
    </xdr:to>
    <xdr:pic>
      <xdr:nvPicPr>
        <xdr:cNvPr id="55" name="圖片 54" descr="https://www.slickcharts.com/img/up.gif">
          <a:extLst>
            <a:ext uri="{FF2B5EF4-FFF2-40B4-BE49-F238E27FC236}">
              <a16:creationId xmlns:a16="http://schemas.microsoft.com/office/drawing/2014/main" id="{304B3EDA-6672-4D39-8795-D3DCD84A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113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88900</xdr:colOff>
      <xdr:row>109</xdr:row>
      <xdr:rowOff>50800</xdr:rowOff>
    </xdr:to>
    <xdr:pic>
      <xdr:nvPicPr>
        <xdr:cNvPr id="56" name="圖片 55" descr="https://www.slickcharts.com/img/up.gif">
          <a:extLst>
            <a:ext uri="{FF2B5EF4-FFF2-40B4-BE49-F238E27FC236}">
              <a16:creationId xmlns:a16="http://schemas.microsoft.com/office/drawing/2014/main" id="{233723D7-FB6F-4353-B53F-CB2C06B0C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134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88900</xdr:colOff>
      <xdr:row>39</xdr:row>
      <xdr:rowOff>50800</xdr:rowOff>
    </xdr:to>
    <xdr:pic>
      <xdr:nvPicPr>
        <xdr:cNvPr id="57" name="圖片 56" descr="https://www.slickcharts.com/img/down.gif">
          <a:extLst>
            <a:ext uri="{FF2B5EF4-FFF2-40B4-BE49-F238E27FC236}">
              <a16:creationId xmlns:a16="http://schemas.microsoft.com/office/drawing/2014/main" id="{42412F8A-0CD4-440F-BF38-ECA6A3A60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154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88900</xdr:colOff>
      <xdr:row>40</xdr:row>
      <xdr:rowOff>50800</xdr:rowOff>
    </xdr:to>
    <xdr:pic>
      <xdr:nvPicPr>
        <xdr:cNvPr id="58" name="圖片 57" descr="https://www.slickcharts.com/img/up.gif">
          <a:extLst>
            <a:ext uri="{FF2B5EF4-FFF2-40B4-BE49-F238E27FC236}">
              <a16:creationId xmlns:a16="http://schemas.microsoft.com/office/drawing/2014/main" id="{38F3E6C2-E8E5-4685-AF23-D81289534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174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88900</xdr:colOff>
      <xdr:row>41</xdr:row>
      <xdr:rowOff>50800</xdr:rowOff>
    </xdr:to>
    <xdr:pic>
      <xdr:nvPicPr>
        <xdr:cNvPr id="59" name="圖片 58" descr="https://www.slickcharts.com/img/up.gif">
          <a:extLst>
            <a:ext uri="{FF2B5EF4-FFF2-40B4-BE49-F238E27FC236}">
              <a16:creationId xmlns:a16="http://schemas.microsoft.com/office/drawing/2014/main" id="{BC67AAC8-BC46-4287-A4DA-E5D18744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195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88900</xdr:colOff>
      <xdr:row>110</xdr:row>
      <xdr:rowOff>50800</xdr:rowOff>
    </xdr:to>
    <xdr:pic>
      <xdr:nvPicPr>
        <xdr:cNvPr id="60" name="圖片 59" descr="https://www.slickcharts.com/img/up.gif">
          <a:extLst>
            <a:ext uri="{FF2B5EF4-FFF2-40B4-BE49-F238E27FC236}">
              <a16:creationId xmlns:a16="http://schemas.microsoft.com/office/drawing/2014/main" id="{586294FF-34B5-4BC7-B26F-B96D12D01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215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88900</xdr:colOff>
      <xdr:row>42</xdr:row>
      <xdr:rowOff>50800</xdr:rowOff>
    </xdr:to>
    <xdr:pic>
      <xdr:nvPicPr>
        <xdr:cNvPr id="61" name="圖片 60" descr="https://www.slickcharts.com/img/up.gif">
          <a:extLst>
            <a:ext uri="{FF2B5EF4-FFF2-40B4-BE49-F238E27FC236}">
              <a16:creationId xmlns:a16="http://schemas.microsoft.com/office/drawing/2014/main" id="{27B2C944-0118-4E26-9A9B-ECDB1E33D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235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88900</xdr:colOff>
      <xdr:row>87</xdr:row>
      <xdr:rowOff>50800</xdr:rowOff>
    </xdr:to>
    <xdr:pic>
      <xdr:nvPicPr>
        <xdr:cNvPr id="62" name="圖片 61" descr="https://www.slickcharts.com/img/up.gif">
          <a:extLst>
            <a:ext uri="{FF2B5EF4-FFF2-40B4-BE49-F238E27FC236}">
              <a16:creationId xmlns:a16="http://schemas.microsoft.com/office/drawing/2014/main" id="{FE9B3A71-F8CF-4201-A90F-C1DDE2A3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256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88900</xdr:colOff>
      <xdr:row>111</xdr:row>
      <xdr:rowOff>50800</xdr:rowOff>
    </xdr:to>
    <xdr:pic>
      <xdr:nvPicPr>
        <xdr:cNvPr id="63" name="圖片 62" descr="https://www.slickcharts.com/img/up.gif">
          <a:extLst>
            <a:ext uri="{FF2B5EF4-FFF2-40B4-BE49-F238E27FC236}">
              <a16:creationId xmlns:a16="http://schemas.microsoft.com/office/drawing/2014/main" id="{3BAA14C0-511F-4BB0-A42B-45241C13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276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88900</xdr:colOff>
      <xdr:row>43</xdr:row>
      <xdr:rowOff>50800</xdr:rowOff>
    </xdr:to>
    <xdr:pic>
      <xdr:nvPicPr>
        <xdr:cNvPr id="64" name="圖片 63" descr="https://www.slickcharts.com/img/up.gif">
          <a:extLst>
            <a:ext uri="{FF2B5EF4-FFF2-40B4-BE49-F238E27FC236}">
              <a16:creationId xmlns:a16="http://schemas.microsoft.com/office/drawing/2014/main" id="{5AD11707-FCA8-435C-92BF-92988836E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296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88900</xdr:colOff>
      <xdr:row>88</xdr:row>
      <xdr:rowOff>50800</xdr:rowOff>
    </xdr:to>
    <xdr:pic>
      <xdr:nvPicPr>
        <xdr:cNvPr id="65" name="圖片 64" descr="https://www.slickcharts.com/img/up.gif">
          <a:extLst>
            <a:ext uri="{FF2B5EF4-FFF2-40B4-BE49-F238E27FC236}">
              <a16:creationId xmlns:a16="http://schemas.microsoft.com/office/drawing/2014/main" id="{36465A9F-1FBD-45EA-A998-7F6E82653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316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88900</xdr:colOff>
      <xdr:row>44</xdr:row>
      <xdr:rowOff>50800</xdr:rowOff>
    </xdr:to>
    <xdr:pic>
      <xdr:nvPicPr>
        <xdr:cNvPr id="66" name="圖片 65" descr="https://www.slickcharts.com/img/up.gif">
          <a:extLst>
            <a:ext uri="{FF2B5EF4-FFF2-40B4-BE49-F238E27FC236}">
              <a16:creationId xmlns:a16="http://schemas.microsoft.com/office/drawing/2014/main" id="{ECEEB8F7-AC84-48C0-9C90-9CDEA8083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337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88900</xdr:colOff>
      <xdr:row>45</xdr:row>
      <xdr:rowOff>50800</xdr:rowOff>
    </xdr:to>
    <xdr:pic>
      <xdr:nvPicPr>
        <xdr:cNvPr id="67" name="圖片 66" descr="https://www.slickcharts.com/img/up.gif">
          <a:extLst>
            <a:ext uri="{FF2B5EF4-FFF2-40B4-BE49-F238E27FC236}">
              <a16:creationId xmlns:a16="http://schemas.microsoft.com/office/drawing/2014/main" id="{C1AAD42D-A7B1-4C24-A248-20020F24F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357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88900</xdr:colOff>
      <xdr:row>46</xdr:row>
      <xdr:rowOff>50800</xdr:rowOff>
    </xdr:to>
    <xdr:pic>
      <xdr:nvPicPr>
        <xdr:cNvPr id="68" name="圖片 67" descr="https://www.slickcharts.com/img/up.gif">
          <a:extLst>
            <a:ext uri="{FF2B5EF4-FFF2-40B4-BE49-F238E27FC236}">
              <a16:creationId xmlns:a16="http://schemas.microsoft.com/office/drawing/2014/main" id="{C814DADA-7F35-4A28-9AFD-FAF043D50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377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88900</xdr:colOff>
      <xdr:row>6</xdr:row>
      <xdr:rowOff>50800</xdr:rowOff>
    </xdr:to>
    <xdr:pic>
      <xdr:nvPicPr>
        <xdr:cNvPr id="69" name="圖片 68" descr="https://www.slickcharts.com/img/up.gif">
          <a:extLst>
            <a:ext uri="{FF2B5EF4-FFF2-40B4-BE49-F238E27FC236}">
              <a16:creationId xmlns:a16="http://schemas.microsoft.com/office/drawing/2014/main" id="{F6DA373D-A312-46EC-9306-122AE8CB8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398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88900</xdr:colOff>
      <xdr:row>89</xdr:row>
      <xdr:rowOff>50800</xdr:rowOff>
    </xdr:to>
    <xdr:pic>
      <xdr:nvPicPr>
        <xdr:cNvPr id="70" name="圖片 69" descr="https://www.slickcharts.com/img/up.gif">
          <a:extLst>
            <a:ext uri="{FF2B5EF4-FFF2-40B4-BE49-F238E27FC236}">
              <a16:creationId xmlns:a16="http://schemas.microsoft.com/office/drawing/2014/main" id="{74BB201F-24B6-4F5A-9728-656EDC691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418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88900</xdr:colOff>
      <xdr:row>102</xdr:row>
      <xdr:rowOff>50800</xdr:rowOff>
    </xdr:to>
    <xdr:pic>
      <xdr:nvPicPr>
        <xdr:cNvPr id="71" name="圖片 70" descr="https://www.slickcharts.com/img/up.gif">
          <a:extLst>
            <a:ext uri="{FF2B5EF4-FFF2-40B4-BE49-F238E27FC236}">
              <a16:creationId xmlns:a16="http://schemas.microsoft.com/office/drawing/2014/main" id="{9BEC9866-0A72-4BD9-9EC6-99BD4817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438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88900</xdr:colOff>
      <xdr:row>6</xdr:row>
      <xdr:rowOff>50800</xdr:rowOff>
    </xdr:to>
    <xdr:pic>
      <xdr:nvPicPr>
        <xdr:cNvPr id="72" name="圖片 71" descr="https://www.slickcharts.com/img/up.gif">
          <a:extLst>
            <a:ext uri="{FF2B5EF4-FFF2-40B4-BE49-F238E27FC236}">
              <a16:creationId xmlns:a16="http://schemas.microsoft.com/office/drawing/2014/main" id="{31FED332-DA3E-4D21-AEEA-78D09211E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459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88900</xdr:colOff>
      <xdr:row>6</xdr:row>
      <xdr:rowOff>50800</xdr:rowOff>
    </xdr:to>
    <xdr:pic>
      <xdr:nvPicPr>
        <xdr:cNvPr id="73" name="圖片 72" descr="https://www.slickcharts.com/img/up.gif">
          <a:extLst>
            <a:ext uri="{FF2B5EF4-FFF2-40B4-BE49-F238E27FC236}">
              <a16:creationId xmlns:a16="http://schemas.microsoft.com/office/drawing/2014/main" id="{DE2F081F-FA0E-43BE-9E92-B29662DF8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479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88900</xdr:colOff>
      <xdr:row>6</xdr:row>
      <xdr:rowOff>50800</xdr:rowOff>
    </xdr:to>
    <xdr:pic>
      <xdr:nvPicPr>
        <xdr:cNvPr id="74" name="圖片 73" descr="https://www.slickcharts.com/img/up.gif">
          <a:extLst>
            <a:ext uri="{FF2B5EF4-FFF2-40B4-BE49-F238E27FC236}">
              <a16:creationId xmlns:a16="http://schemas.microsoft.com/office/drawing/2014/main" id="{0CAF17C6-BDA8-4505-8D4E-B29F647D9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499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88900</xdr:colOff>
      <xdr:row>90</xdr:row>
      <xdr:rowOff>50800</xdr:rowOff>
    </xdr:to>
    <xdr:pic>
      <xdr:nvPicPr>
        <xdr:cNvPr id="75" name="圖片 74" descr="https://www.slickcharts.com/img/up.gif">
          <a:extLst>
            <a:ext uri="{FF2B5EF4-FFF2-40B4-BE49-F238E27FC236}">
              <a16:creationId xmlns:a16="http://schemas.microsoft.com/office/drawing/2014/main" id="{6274D0BA-6DCE-414A-9820-6ADB7B733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520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88900</xdr:colOff>
      <xdr:row>47</xdr:row>
      <xdr:rowOff>50800</xdr:rowOff>
    </xdr:to>
    <xdr:pic>
      <xdr:nvPicPr>
        <xdr:cNvPr id="76" name="圖片 75" descr="https://www.slickcharts.com/img/up.gif">
          <a:extLst>
            <a:ext uri="{FF2B5EF4-FFF2-40B4-BE49-F238E27FC236}">
              <a16:creationId xmlns:a16="http://schemas.microsoft.com/office/drawing/2014/main" id="{95A903AD-AABE-4EA1-BD9D-A544E70E7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540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88900</xdr:colOff>
      <xdr:row>112</xdr:row>
      <xdr:rowOff>50800</xdr:rowOff>
    </xdr:to>
    <xdr:pic>
      <xdr:nvPicPr>
        <xdr:cNvPr id="77" name="圖片 76" descr="https://www.slickcharts.com/img/up.gif">
          <a:extLst>
            <a:ext uri="{FF2B5EF4-FFF2-40B4-BE49-F238E27FC236}">
              <a16:creationId xmlns:a16="http://schemas.microsoft.com/office/drawing/2014/main" id="{F6ACC12D-89E1-4E57-902C-5E28BC1E4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560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88900</xdr:colOff>
      <xdr:row>48</xdr:row>
      <xdr:rowOff>50800</xdr:rowOff>
    </xdr:to>
    <xdr:pic>
      <xdr:nvPicPr>
        <xdr:cNvPr id="78" name="圖片 77" descr="https://www.slickcharts.com/img/up.gif">
          <a:extLst>
            <a:ext uri="{FF2B5EF4-FFF2-40B4-BE49-F238E27FC236}">
              <a16:creationId xmlns:a16="http://schemas.microsoft.com/office/drawing/2014/main" id="{33D7BF3C-C317-4F59-B463-27965E58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581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88900</xdr:colOff>
      <xdr:row>113</xdr:row>
      <xdr:rowOff>50800</xdr:rowOff>
    </xdr:to>
    <xdr:pic>
      <xdr:nvPicPr>
        <xdr:cNvPr id="79" name="圖片 78" descr="https://www.slickcharts.com/img/up.gif">
          <a:extLst>
            <a:ext uri="{FF2B5EF4-FFF2-40B4-BE49-F238E27FC236}">
              <a16:creationId xmlns:a16="http://schemas.microsoft.com/office/drawing/2014/main" id="{DF8368BB-9351-4B1D-A7B5-93F41DA5E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601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88900</xdr:colOff>
      <xdr:row>49</xdr:row>
      <xdr:rowOff>50800</xdr:rowOff>
    </xdr:to>
    <xdr:pic>
      <xdr:nvPicPr>
        <xdr:cNvPr id="80" name="圖片 79" descr="https://www.slickcharts.com/img/up.gif">
          <a:extLst>
            <a:ext uri="{FF2B5EF4-FFF2-40B4-BE49-F238E27FC236}">
              <a16:creationId xmlns:a16="http://schemas.microsoft.com/office/drawing/2014/main" id="{E32DEDC5-CCA5-4C30-B537-A39695910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621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88900</xdr:colOff>
      <xdr:row>114</xdr:row>
      <xdr:rowOff>50800</xdr:rowOff>
    </xdr:to>
    <xdr:pic>
      <xdr:nvPicPr>
        <xdr:cNvPr id="81" name="圖片 80" descr="https://www.slickcharts.com/img/up.gif">
          <a:extLst>
            <a:ext uri="{FF2B5EF4-FFF2-40B4-BE49-F238E27FC236}">
              <a16:creationId xmlns:a16="http://schemas.microsoft.com/office/drawing/2014/main" id="{9A5B89DE-2F07-436A-A67F-D8655D7DC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642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88900</xdr:colOff>
      <xdr:row>115</xdr:row>
      <xdr:rowOff>50800</xdr:rowOff>
    </xdr:to>
    <xdr:pic>
      <xdr:nvPicPr>
        <xdr:cNvPr id="82" name="圖片 81" descr="https://www.slickcharts.com/img/up.gif">
          <a:extLst>
            <a:ext uri="{FF2B5EF4-FFF2-40B4-BE49-F238E27FC236}">
              <a16:creationId xmlns:a16="http://schemas.microsoft.com/office/drawing/2014/main" id="{125E2186-A072-4A2C-9EB4-6FCD53C51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662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88900</xdr:colOff>
      <xdr:row>50</xdr:row>
      <xdr:rowOff>50800</xdr:rowOff>
    </xdr:to>
    <xdr:pic>
      <xdr:nvPicPr>
        <xdr:cNvPr id="83" name="圖片 82" descr="https://www.slickcharts.com/img/down.gif">
          <a:extLst>
            <a:ext uri="{FF2B5EF4-FFF2-40B4-BE49-F238E27FC236}">
              <a16:creationId xmlns:a16="http://schemas.microsoft.com/office/drawing/2014/main" id="{485C754E-19C3-4D77-80A3-D907ABED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682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88900</xdr:colOff>
      <xdr:row>51</xdr:row>
      <xdr:rowOff>50800</xdr:rowOff>
    </xdr:to>
    <xdr:pic>
      <xdr:nvPicPr>
        <xdr:cNvPr id="84" name="圖片 83" descr="https://www.slickcharts.com/img/up.gif">
          <a:extLst>
            <a:ext uri="{FF2B5EF4-FFF2-40B4-BE49-F238E27FC236}">
              <a16:creationId xmlns:a16="http://schemas.microsoft.com/office/drawing/2014/main" id="{4150B198-E2A6-4E70-BBA5-AA60C832E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703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88900</xdr:colOff>
      <xdr:row>52</xdr:row>
      <xdr:rowOff>50800</xdr:rowOff>
    </xdr:to>
    <xdr:pic>
      <xdr:nvPicPr>
        <xdr:cNvPr id="85" name="圖片 84" descr="https://www.slickcharts.com/img/up.gif">
          <a:extLst>
            <a:ext uri="{FF2B5EF4-FFF2-40B4-BE49-F238E27FC236}">
              <a16:creationId xmlns:a16="http://schemas.microsoft.com/office/drawing/2014/main" id="{4CB65A51-DDCA-462C-A4D7-A37D84E2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723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88900</xdr:colOff>
      <xdr:row>91</xdr:row>
      <xdr:rowOff>50800</xdr:rowOff>
    </xdr:to>
    <xdr:pic>
      <xdr:nvPicPr>
        <xdr:cNvPr id="86" name="圖片 85" descr="https://www.slickcharts.com/img/up.gif">
          <a:extLst>
            <a:ext uri="{FF2B5EF4-FFF2-40B4-BE49-F238E27FC236}">
              <a16:creationId xmlns:a16="http://schemas.microsoft.com/office/drawing/2014/main" id="{1B6190C2-45A3-4590-B917-34BAB713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743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88900</xdr:colOff>
      <xdr:row>6</xdr:row>
      <xdr:rowOff>50800</xdr:rowOff>
    </xdr:to>
    <xdr:pic>
      <xdr:nvPicPr>
        <xdr:cNvPr id="87" name="圖片 86" descr="https://www.slickcharts.com/img/up.gif">
          <a:extLst>
            <a:ext uri="{FF2B5EF4-FFF2-40B4-BE49-F238E27FC236}">
              <a16:creationId xmlns:a16="http://schemas.microsoft.com/office/drawing/2014/main" id="{375F87AA-D3E3-43BA-BE03-2FB401392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764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88900</xdr:colOff>
      <xdr:row>116</xdr:row>
      <xdr:rowOff>50800</xdr:rowOff>
    </xdr:to>
    <xdr:pic>
      <xdr:nvPicPr>
        <xdr:cNvPr id="88" name="圖片 87" descr="https://www.slickcharts.com/img/up.gif">
          <a:extLst>
            <a:ext uri="{FF2B5EF4-FFF2-40B4-BE49-F238E27FC236}">
              <a16:creationId xmlns:a16="http://schemas.microsoft.com/office/drawing/2014/main" id="{4A316751-64EB-4BEA-8BAC-F27375D5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784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88900</xdr:colOff>
      <xdr:row>92</xdr:row>
      <xdr:rowOff>50800</xdr:rowOff>
    </xdr:to>
    <xdr:pic>
      <xdr:nvPicPr>
        <xdr:cNvPr id="89" name="圖片 88" descr="https://www.slickcharts.com/img/up.gif">
          <a:extLst>
            <a:ext uri="{FF2B5EF4-FFF2-40B4-BE49-F238E27FC236}">
              <a16:creationId xmlns:a16="http://schemas.microsoft.com/office/drawing/2014/main" id="{561F70DF-C8F0-42F2-9AA2-72C075FF1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804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88900</xdr:colOff>
      <xdr:row>53</xdr:row>
      <xdr:rowOff>50800</xdr:rowOff>
    </xdr:to>
    <xdr:pic>
      <xdr:nvPicPr>
        <xdr:cNvPr id="90" name="圖片 89" descr="https://www.slickcharts.com/img/up.gif">
          <a:extLst>
            <a:ext uri="{FF2B5EF4-FFF2-40B4-BE49-F238E27FC236}">
              <a16:creationId xmlns:a16="http://schemas.microsoft.com/office/drawing/2014/main" id="{D99A3A0A-AA7D-44B8-A5C9-B331E0560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824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88900</xdr:colOff>
      <xdr:row>93</xdr:row>
      <xdr:rowOff>50800</xdr:rowOff>
    </xdr:to>
    <xdr:pic>
      <xdr:nvPicPr>
        <xdr:cNvPr id="91" name="圖片 90" descr="https://www.slickcharts.com/img/down.gif">
          <a:extLst>
            <a:ext uri="{FF2B5EF4-FFF2-40B4-BE49-F238E27FC236}">
              <a16:creationId xmlns:a16="http://schemas.microsoft.com/office/drawing/2014/main" id="{21F4A71A-CAC4-4FA6-9B42-22CFD18E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845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88900</xdr:colOff>
      <xdr:row>103</xdr:row>
      <xdr:rowOff>50800</xdr:rowOff>
    </xdr:to>
    <xdr:pic>
      <xdr:nvPicPr>
        <xdr:cNvPr id="92" name="圖片 91" descr="https://www.slickcharts.com/img/up.gif">
          <a:extLst>
            <a:ext uri="{FF2B5EF4-FFF2-40B4-BE49-F238E27FC236}">
              <a16:creationId xmlns:a16="http://schemas.microsoft.com/office/drawing/2014/main" id="{80C87203-B206-4940-8A51-E854DD9A0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865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88900</xdr:colOff>
      <xdr:row>6</xdr:row>
      <xdr:rowOff>50800</xdr:rowOff>
    </xdr:to>
    <xdr:pic>
      <xdr:nvPicPr>
        <xdr:cNvPr id="93" name="圖片 92" descr="https://www.slickcharts.com/img/up.gif">
          <a:extLst>
            <a:ext uri="{FF2B5EF4-FFF2-40B4-BE49-F238E27FC236}">
              <a16:creationId xmlns:a16="http://schemas.microsoft.com/office/drawing/2014/main" id="{DA4E5C0A-F7C5-4802-A0E4-FF97FB50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885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88900</xdr:colOff>
      <xdr:row>54</xdr:row>
      <xdr:rowOff>50800</xdr:rowOff>
    </xdr:to>
    <xdr:pic>
      <xdr:nvPicPr>
        <xdr:cNvPr id="94" name="圖片 93" descr="https://www.slickcharts.com/img/up.gif">
          <a:extLst>
            <a:ext uri="{FF2B5EF4-FFF2-40B4-BE49-F238E27FC236}">
              <a16:creationId xmlns:a16="http://schemas.microsoft.com/office/drawing/2014/main" id="{C0B56B75-000E-4332-820E-62DECEBFA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06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88900</xdr:colOff>
      <xdr:row>55</xdr:row>
      <xdr:rowOff>50800</xdr:rowOff>
    </xdr:to>
    <xdr:pic>
      <xdr:nvPicPr>
        <xdr:cNvPr id="95" name="圖片 94" descr="https://www.slickcharts.com/img/down.gif">
          <a:extLst>
            <a:ext uri="{FF2B5EF4-FFF2-40B4-BE49-F238E27FC236}">
              <a16:creationId xmlns:a16="http://schemas.microsoft.com/office/drawing/2014/main" id="{357910C3-00F6-4D48-81A9-1DDC7547B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26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88900</xdr:colOff>
      <xdr:row>12</xdr:row>
      <xdr:rowOff>50800</xdr:rowOff>
    </xdr:to>
    <xdr:pic>
      <xdr:nvPicPr>
        <xdr:cNvPr id="96" name="圖片 95" descr="https://www.slickcharts.com/img/down.gif">
          <a:extLst>
            <a:ext uri="{FF2B5EF4-FFF2-40B4-BE49-F238E27FC236}">
              <a16:creationId xmlns:a16="http://schemas.microsoft.com/office/drawing/2014/main" id="{18B2EBF3-A3DD-435B-BA40-FBF590F88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46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88900</xdr:colOff>
      <xdr:row>117</xdr:row>
      <xdr:rowOff>50800</xdr:rowOff>
    </xdr:to>
    <xdr:pic>
      <xdr:nvPicPr>
        <xdr:cNvPr id="97" name="圖片 96" descr="https://www.slickcharts.com/img/up.gif">
          <a:extLst>
            <a:ext uri="{FF2B5EF4-FFF2-40B4-BE49-F238E27FC236}">
              <a16:creationId xmlns:a16="http://schemas.microsoft.com/office/drawing/2014/main" id="{01A1BDE1-EA2D-479B-B532-4E5A34E3B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67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88900</xdr:colOff>
      <xdr:row>118</xdr:row>
      <xdr:rowOff>50800</xdr:rowOff>
    </xdr:to>
    <xdr:pic>
      <xdr:nvPicPr>
        <xdr:cNvPr id="98" name="圖片 97" descr="https://www.slickcharts.com/img/up.gif">
          <a:extLst>
            <a:ext uri="{FF2B5EF4-FFF2-40B4-BE49-F238E27FC236}">
              <a16:creationId xmlns:a16="http://schemas.microsoft.com/office/drawing/2014/main" id="{77764E36-32C0-4CAF-AD62-822099D4C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87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88900</xdr:colOff>
      <xdr:row>119</xdr:row>
      <xdr:rowOff>50800</xdr:rowOff>
    </xdr:to>
    <xdr:pic>
      <xdr:nvPicPr>
        <xdr:cNvPr id="99" name="圖片 98" descr="https://www.slickcharts.com/img/up.gif">
          <a:extLst>
            <a:ext uri="{FF2B5EF4-FFF2-40B4-BE49-F238E27FC236}">
              <a16:creationId xmlns:a16="http://schemas.microsoft.com/office/drawing/2014/main" id="{4F5C373C-030D-4140-840D-ACC5EA6B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007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88900</xdr:colOff>
      <xdr:row>120</xdr:row>
      <xdr:rowOff>50800</xdr:rowOff>
    </xdr:to>
    <xdr:pic>
      <xdr:nvPicPr>
        <xdr:cNvPr id="100" name="圖片 99" descr="https://www.slickcharts.com/img/up.gif">
          <a:extLst>
            <a:ext uri="{FF2B5EF4-FFF2-40B4-BE49-F238E27FC236}">
              <a16:creationId xmlns:a16="http://schemas.microsoft.com/office/drawing/2014/main" id="{F4C27C78-4478-474A-BE0B-148617785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028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88900</xdr:colOff>
      <xdr:row>121</xdr:row>
      <xdr:rowOff>50800</xdr:rowOff>
    </xdr:to>
    <xdr:pic>
      <xdr:nvPicPr>
        <xdr:cNvPr id="101" name="圖片 100" descr="https://www.slickcharts.com/img/up.gif">
          <a:extLst>
            <a:ext uri="{FF2B5EF4-FFF2-40B4-BE49-F238E27FC236}">
              <a16:creationId xmlns:a16="http://schemas.microsoft.com/office/drawing/2014/main" id="{B15D3892-DD5F-4636-8A84-65B2F0F06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048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88900</xdr:colOff>
      <xdr:row>122</xdr:row>
      <xdr:rowOff>50800</xdr:rowOff>
    </xdr:to>
    <xdr:pic>
      <xdr:nvPicPr>
        <xdr:cNvPr id="102" name="圖片 101" descr="https://www.slickcharts.com/img/up.gif">
          <a:extLst>
            <a:ext uri="{FF2B5EF4-FFF2-40B4-BE49-F238E27FC236}">
              <a16:creationId xmlns:a16="http://schemas.microsoft.com/office/drawing/2014/main" id="{5DC1617E-8E3E-494F-9C60-079A1C911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068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88900</xdr:colOff>
      <xdr:row>123</xdr:row>
      <xdr:rowOff>50800</xdr:rowOff>
    </xdr:to>
    <xdr:pic>
      <xdr:nvPicPr>
        <xdr:cNvPr id="103" name="圖片 102" descr="https://www.slickcharts.com/img/up.gif">
          <a:extLst>
            <a:ext uri="{FF2B5EF4-FFF2-40B4-BE49-F238E27FC236}">
              <a16:creationId xmlns:a16="http://schemas.microsoft.com/office/drawing/2014/main" id="{057D3A62-81E7-45EE-8B61-B3AB17401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089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88900</xdr:colOff>
      <xdr:row>56</xdr:row>
      <xdr:rowOff>50800</xdr:rowOff>
    </xdr:to>
    <xdr:pic>
      <xdr:nvPicPr>
        <xdr:cNvPr id="104" name="圖片 103" descr="https://www.slickcharts.com/img/up.gif">
          <a:extLst>
            <a:ext uri="{FF2B5EF4-FFF2-40B4-BE49-F238E27FC236}">
              <a16:creationId xmlns:a16="http://schemas.microsoft.com/office/drawing/2014/main" id="{26679914-3CEB-4A81-8416-7BD49B5F2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109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88900</xdr:colOff>
      <xdr:row>57</xdr:row>
      <xdr:rowOff>50800</xdr:rowOff>
    </xdr:to>
    <xdr:pic>
      <xdr:nvPicPr>
        <xdr:cNvPr id="105" name="圖片 104" descr="https://www.slickcharts.com/img/up.gif">
          <a:extLst>
            <a:ext uri="{FF2B5EF4-FFF2-40B4-BE49-F238E27FC236}">
              <a16:creationId xmlns:a16="http://schemas.microsoft.com/office/drawing/2014/main" id="{D11AA932-DBFE-4791-9A16-6E3F8CAA3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129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88900</xdr:colOff>
      <xdr:row>12</xdr:row>
      <xdr:rowOff>50800</xdr:rowOff>
    </xdr:to>
    <xdr:pic>
      <xdr:nvPicPr>
        <xdr:cNvPr id="106" name="圖片 105" descr="https://www.slickcharts.com/img/up.gif">
          <a:extLst>
            <a:ext uri="{FF2B5EF4-FFF2-40B4-BE49-F238E27FC236}">
              <a16:creationId xmlns:a16="http://schemas.microsoft.com/office/drawing/2014/main" id="{5E03124A-A983-4282-80C9-512552A58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150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88900</xdr:colOff>
      <xdr:row>124</xdr:row>
      <xdr:rowOff>50800</xdr:rowOff>
    </xdr:to>
    <xdr:pic>
      <xdr:nvPicPr>
        <xdr:cNvPr id="107" name="圖片 106" descr="https://www.slickcharts.com/img/down.gif">
          <a:extLst>
            <a:ext uri="{FF2B5EF4-FFF2-40B4-BE49-F238E27FC236}">
              <a16:creationId xmlns:a16="http://schemas.microsoft.com/office/drawing/2014/main" id="{C9568DAB-C5F8-49EC-BF29-6F67E753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170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88900</xdr:colOff>
      <xdr:row>125</xdr:row>
      <xdr:rowOff>50800</xdr:rowOff>
    </xdr:to>
    <xdr:pic>
      <xdr:nvPicPr>
        <xdr:cNvPr id="108" name="圖片 107" descr="https://www.slickcharts.com/img/up.gif">
          <a:extLst>
            <a:ext uri="{FF2B5EF4-FFF2-40B4-BE49-F238E27FC236}">
              <a16:creationId xmlns:a16="http://schemas.microsoft.com/office/drawing/2014/main" id="{3555A5DB-BE2A-42CE-AB7D-2916F4695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190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88900</xdr:colOff>
      <xdr:row>126</xdr:row>
      <xdr:rowOff>50800</xdr:rowOff>
    </xdr:to>
    <xdr:pic>
      <xdr:nvPicPr>
        <xdr:cNvPr id="109" name="圖片 108" descr="https://www.slickcharts.com/img/up.gif">
          <a:extLst>
            <a:ext uri="{FF2B5EF4-FFF2-40B4-BE49-F238E27FC236}">
              <a16:creationId xmlns:a16="http://schemas.microsoft.com/office/drawing/2014/main" id="{E4E02B41-F815-4F7F-8A9F-0B36290F2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211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88900</xdr:colOff>
      <xdr:row>127</xdr:row>
      <xdr:rowOff>50800</xdr:rowOff>
    </xdr:to>
    <xdr:pic>
      <xdr:nvPicPr>
        <xdr:cNvPr id="110" name="圖片 109" descr="https://www.slickcharts.com/img/up.gif">
          <a:extLst>
            <a:ext uri="{FF2B5EF4-FFF2-40B4-BE49-F238E27FC236}">
              <a16:creationId xmlns:a16="http://schemas.microsoft.com/office/drawing/2014/main" id="{9DED0B3E-5689-432F-9068-D6AD305AF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231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88900</xdr:colOff>
      <xdr:row>11</xdr:row>
      <xdr:rowOff>50800</xdr:rowOff>
    </xdr:to>
    <xdr:pic>
      <xdr:nvPicPr>
        <xdr:cNvPr id="111" name="圖片 110" descr="https://www.slickcharts.com/img/up.gif">
          <a:extLst>
            <a:ext uri="{FF2B5EF4-FFF2-40B4-BE49-F238E27FC236}">
              <a16:creationId xmlns:a16="http://schemas.microsoft.com/office/drawing/2014/main" id="{95F9B1DD-FE59-4F5B-AD7D-E4ACCC5D4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251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88900</xdr:colOff>
      <xdr:row>128</xdr:row>
      <xdr:rowOff>50800</xdr:rowOff>
    </xdr:to>
    <xdr:pic>
      <xdr:nvPicPr>
        <xdr:cNvPr id="112" name="圖片 111" descr="https://www.slickcharts.com/img/up.gif">
          <a:extLst>
            <a:ext uri="{FF2B5EF4-FFF2-40B4-BE49-F238E27FC236}">
              <a16:creationId xmlns:a16="http://schemas.microsoft.com/office/drawing/2014/main" id="{4C2A961E-2011-44B3-B761-246F7D34B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272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88900</xdr:colOff>
      <xdr:row>58</xdr:row>
      <xdr:rowOff>50800</xdr:rowOff>
    </xdr:to>
    <xdr:pic>
      <xdr:nvPicPr>
        <xdr:cNvPr id="113" name="圖片 112" descr="https://www.slickcharts.com/img/down.gif">
          <a:extLst>
            <a:ext uri="{FF2B5EF4-FFF2-40B4-BE49-F238E27FC236}">
              <a16:creationId xmlns:a16="http://schemas.microsoft.com/office/drawing/2014/main" id="{D70F6645-76A9-44CE-869F-1565060F9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292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88900</xdr:colOff>
      <xdr:row>11</xdr:row>
      <xdr:rowOff>50800</xdr:rowOff>
    </xdr:to>
    <xdr:pic>
      <xdr:nvPicPr>
        <xdr:cNvPr id="114" name="圖片 113" descr="https://www.slickcharts.com/img/down.gif">
          <a:extLst>
            <a:ext uri="{FF2B5EF4-FFF2-40B4-BE49-F238E27FC236}">
              <a16:creationId xmlns:a16="http://schemas.microsoft.com/office/drawing/2014/main" id="{149B9948-45FC-4475-A5D8-D257DAED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312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88900</xdr:colOff>
      <xdr:row>129</xdr:row>
      <xdr:rowOff>50800</xdr:rowOff>
    </xdr:to>
    <xdr:pic>
      <xdr:nvPicPr>
        <xdr:cNvPr id="115" name="圖片 114" descr="https://www.slickcharts.com/img/up.gif">
          <a:extLst>
            <a:ext uri="{FF2B5EF4-FFF2-40B4-BE49-F238E27FC236}">
              <a16:creationId xmlns:a16="http://schemas.microsoft.com/office/drawing/2014/main" id="{B98DCE5A-B240-4510-A0E1-E7A2FFA46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332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88900</xdr:colOff>
      <xdr:row>130</xdr:row>
      <xdr:rowOff>50800</xdr:rowOff>
    </xdr:to>
    <xdr:pic>
      <xdr:nvPicPr>
        <xdr:cNvPr id="116" name="圖片 115" descr="https://www.slickcharts.com/img/up.gif">
          <a:extLst>
            <a:ext uri="{FF2B5EF4-FFF2-40B4-BE49-F238E27FC236}">
              <a16:creationId xmlns:a16="http://schemas.microsoft.com/office/drawing/2014/main" id="{2868FE6A-B90B-4992-8C08-83EBA69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353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88900</xdr:colOff>
      <xdr:row>104</xdr:row>
      <xdr:rowOff>50800</xdr:rowOff>
    </xdr:to>
    <xdr:pic>
      <xdr:nvPicPr>
        <xdr:cNvPr id="117" name="圖片 116" descr="https://www.slickcharts.com/img/up.gif">
          <a:extLst>
            <a:ext uri="{FF2B5EF4-FFF2-40B4-BE49-F238E27FC236}">
              <a16:creationId xmlns:a16="http://schemas.microsoft.com/office/drawing/2014/main" id="{4C327B4D-5072-44DD-816E-AA61DE27D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373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88900</xdr:colOff>
      <xdr:row>131</xdr:row>
      <xdr:rowOff>50800</xdr:rowOff>
    </xdr:to>
    <xdr:pic>
      <xdr:nvPicPr>
        <xdr:cNvPr id="118" name="圖片 117" descr="https://www.slickcharts.com/img/up.gif">
          <a:extLst>
            <a:ext uri="{FF2B5EF4-FFF2-40B4-BE49-F238E27FC236}">
              <a16:creationId xmlns:a16="http://schemas.microsoft.com/office/drawing/2014/main" id="{E95FCF46-1DC0-4964-B30D-7D68AE158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393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88900</xdr:colOff>
      <xdr:row>132</xdr:row>
      <xdr:rowOff>50800</xdr:rowOff>
    </xdr:to>
    <xdr:pic>
      <xdr:nvPicPr>
        <xdr:cNvPr id="119" name="圖片 118" descr="https://www.slickcharts.com/img/up.gif">
          <a:extLst>
            <a:ext uri="{FF2B5EF4-FFF2-40B4-BE49-F238E27FC236}">
              <a16:creationId xmlns:a16="http://schemas.microsoft.com/office/drawing/2014/main" id="{54A74E85-AAE5-421F-B8D7-539D8878B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414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88900</xdr:colOff>
      <xdr:row>11</xdr:row>
      <xdr:rowOff>50800</xdr:rowOff>
    </xdr:to>
    <xdr:pic>
      <xdr:nvPicPr>
        <xdr:cNvPr id="120" name="圖片 119" descr="https://www.slickcharts.com/img/up.gif">
          <a:extLst>
            <a:ext uri="{FF2B5EF4-FFF2-40B4-BE49-F238E27FC236}">
              <a16:creationId xmlns:a16="http://schemas.microsoft.com/office/drawing/2014/main" id="{D00C0095-BF50-4BC0-B738-DE31D7F0F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434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88900</xdr:colOff>
      <xdr:row>11</xdr:row>
      <xdr:rowOff>50800</xdr:rowOff>
    </xdr:to>
    <xdr:pic>
      <xdr:nvPicPr>
        <xdr:cNvPr id="121" name="圖片 120" descr="https://www.slickcharts.com/img/down.gif">
          <a:extLst>
            <a:ext uri="{FF2B5EF4-FFF2-40B4-BE49-F238E27FC236}">
              <a16:creationId xmlns:a16="http://schemas.microsoft.com/office/drawing/2014/main" id="{80C28DAF-9A16-4909-AC4D-C69A9CFFA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454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88900</xdr:colOff>
      <xdr:row>133</xdr:row>
      <xdr:rowOff>50800</xdr:rowOff>
    </xdr:to>
    <xdr:pic>
      <xdr:nvPicPr>
        <xdr:cNvPr id="122" name="圖片 121" descr="https://www.slickcharts.com/img/up.gif">
          <a:extLst>
            <a:ext uri="{FF2B5EF4-FFF2-40B4-BE49-F238E27FC236}">
              <a16:creationId xmlns:a16="http://schemas.microsoft.com/office/drawing/2014/main" id="{0293B8CC-670C-444B-B501-6A9083B6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475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88900</xdr:colOff>
      <xdr:row>12</xdr:row>
      <xdr:rowOff>50800</xdr:rowOff>
    </xdr:to>
    <xdr:pic>
      <xdr:nvPicPr>
        <xdr:cNvPr id="123" name="圖片 122" descr="https://www.slickcharts.com/img/up.gif">
          <a:extLst>
            <a:ext uri="{FF2B5EF4-FFF2-40B4-BE49-F238E27FC236}">
              <a16:creationId xmlns:a16="http://schemas.microsoft.com/office/drawing/2014/main" id="{07552A43-4470-43D5-903A-27582AE8F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495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88900</xdr:colOff>
      <xdr:row>12</xdr:row>
      <xdr:rowOff>50800</xdr:rowOff>
    </xdr:to>
    <xdr:pic>
      <xdr:nvPicPr>
        <xdr:cNvPr id="124" name="圖片 123" descr="https://www.slickcharts.com/img/up.gif">
          <a:extLst>
            <a:ext uri="{FF2B5EF4-FFF2-40B4-BE49-F238E27FC236}">
              <a16:creationId xmlns:a16="http://schemas.microsoft.com/office/drawing/2014/main" id="{16275A08-B941-4D79-B490-6CE0F1BF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515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88900</xdr:colOff>
      <xdr:row>134</xdr:row>
      <xdr:rowOff>50800</xdr:rowOff>
    </xdr:to>
    <xdr:pic>
      <xdr:nvPicPr>
        <xdr:cNvPr id="125" name="圖片 124" descr="https://www.slickcharts.com/img/up.gif">
          <a:extLst>
            <a:ext uri="{FF2B5EF4-FFF2-40B4-BE49-F238E27FC236}">
              <a16:creationId xmlns:a16="http://schemas.microsoft.com/office/drawing/2014/main" id="{9E88993B-5CFB-4F1A-B214-2DDF9110A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536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88900</xdr:colOff>
      <xdr:row>135</xdr:row>
      <xdr:rowOff>50800</xdr:rowOff>
    </xdr:to>
    <xdr:pic>
      <xdr:nvPicPr>
        <xdr:cNvPr id="126" name="圖片 125" descr="https://www.slickcharts.com/img/up.gif">
          <a:extLst>
            <a:ext uri="{FF2B5EF4-FFF2-40B4-BE49-F238E27FC236}">
              <a16:creationId xmlns:a16="http://schemas.microsoft.com/office/drawing/2014/main" id="{4E20090D-C76B-42FD-8087-4BA0D984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556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88900</xdr:colOff>
      <xdr:row>59</xdr:row>
      <xdr:rowOff>50800</xdr:rowOff>
    </xdr:to>
    <xdr:pic>
      <xdr:nvPicPr>
        <xdr:cNvPr id="127" name="圖片 126" descr="https://www.slickcharts.com/img/up.gif">
          <a:extLst>
            <a:ext uri="{FF2B5EF4-FFF2-40B4-BE49-F238E27FC236}">
              <a16:creationId xmlns:a16="http://schemas.microsoft.com/office/drawing/2014/main" id="{5CB23284-E6BD-4D2A-B227-A4FB14BD3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576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88900</xdr:colOff>
      <xdr:row>136</xdr:row>
      <xdr:rowOff>50800</xdr:rowOff>
    </xdr:to>
    <xdr:pic>
      <xdr:nvPicPr>
        <xdr:cNvPr id="128" name="圖片 127" descr="https://www.slickcharts.com/img/up.gif">
          <a:extLst>
            <a:ext uri="{FF2B5EF4-FFF2-40B4-BE49-F238E27FC236}">
              <a16:creationId xmlns:a16="http://schemas.microsoft.com/office/drawing/2014/main" id="{F327E731-7DC2-4EDA-9C04-E39C5511A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597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60</xdr:row>
      <xdr:rowOff>0</xdr:rowOff>
    </xdr:from>
    <xdr:to>
      <xdr:col>7</xdr:col>
      <xdr:colOff>88900</xdr:colOff>
      <xdr:row>60</xdr:row>
      <xdr:rowOff>50800</xdr:rowOff>
    </xdr:to>
    <xdr:pic>
      <xdr:nvPicPr>
        <xdr:cNvPr id="129" name="圖片 128" descr="https://www.slickcharts.com/img/down.gif">
          <a:extLst>
            <a:ext uri="{FF2B5EF4-FFF2-40B4-BE49-F238E27FC236}">
              <a16:creationId xmlns:a16="http://schemas.microsoft.com/office/drawing/2014/main" id="{28127477-9E43-4561-8321-F73824B1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617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88900</xdr:colOff>
      <xdr:row>137</xdr:row>
      <xdr:rowOff>50800</xdr:rowOff>
    </xdr:to>
    <xdr:pic>
      <xdr:nvPicPr>
        <xdr:cNvPr id="130" name="圖片 129" descr="https://www.slickcharts.com/img/down.gif">
          <a:extLst>
            <a:ext uri="{FF2B5EF4-FFF2-40B4-BE49-F238E27FC236}">
              <a16:creationId xmlns:a16="http://schemas.microsoft.com/office/drawing/2014/main" id="{2BE1AE31-4C80-4241-B274-D8A7CF317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637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88900</xdr:colOff>
      <xdr:row>61</xdr:row>
      <xdr:rowOff>50800</xdr:rowOff>
    </xdr:to>
    <xdr:pic>
      <xdr:nvPicPr>
        <xdr:cNvPr id="131" name="圖片 130" descr="https://www.slickcharts.com/img/up.gif">
          <a:extLst>
            <a:ext uri="{FF2B5EF4-FFF2-40B4-BE49-F238E27FC236}">
              <a16:creationId xmlns:a16="http://schemas.microsoft.com/office/drawing/2014/main" id="{55352DC9-8338-4992-AF0F-1DF5F40DF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658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88900</xdr:colOff>
      <xdr:row>62</xdr:row>
      <xdr:rowOff>50800</xdr:rowOff>
    </xdr:to>
    <xdr:pic>
      <xdr:nvPicPr>
        <xdr:cNvPr id="132" name="圖片 131" descr="https://www.slickcharts.com/img/up.gif">
          <a:extLst>
            <a:ext uri="{FF2B5EF4-FFF2-40B4-BE49-F238E27FC236}">
              <a16:creationId xmlns:a16="http://schemas.microsoft.com/office/drawing/2014/main" id="{655E946D-4A08-4216-8338-7BAA2A677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678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88900</xdr:colOff>
      <xdr:row>138</xdr:row>
      <xdr:rowOff>50800</xdr:rowOff>
    </xdr:to>
    <xdr:pic>
      <xdr:nvPicPr>
        <xdr:cNvPr id="133" name="圖片 132" descr="https://www.slickcharts.com/img/up.gif">
          <a:extLst>
            <a:ext uri="{FF2B5EF4-FFF2-40B4-BE49-F238E27FC236}">
              <a16:creationId xmlns:a16="http://schemas.microsoft.com/office/drawing/2014/main" id="{D0146BA7-B876-44F2-B2F7-D83EB7013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698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88900</xdr:colOff>
      <xdr:row>139</xdr:row>
      <xdr:rowOff>50800</xdr:rowOff>
    </xdr:to>
    <xdr:pic>
      <xdr:nvPicPr>
        <xdr:cNvPr id="134" name="圖片 133" descr="https://www.slickcharts.com/img/up.gif">
          <a:extLst>
            <a:ext uri="{FF2B5EF4-FFF2-40B4-BE49-F238E27FC236}">
              <a16:creationId xmlns:a16="http://schemas.microsoft.com/office/drawing/2014/main" id="{26093FBD-B86C-468A-98D5-F96524436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719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88900</xdr:colOff>
      <xdr:row>140</xdr:row>
      <xdr:rowOff>50800</xdr:rowOff>
    </xdr:to>
    <xdr:pic>
      <xdr:nvPicPr>
        <xdr:cNvPr id="135" name="圖片 134" descr="https://www.slickcharts.com/img/up.gif">
          <a:extLst>
            <a:ext uri="{FF2B5EF4-FFF2-40B4-BE49-F238E27FC236}">
              <a16:creationId xmlns:a16="http://schemas.microsoft.com/office/drawing/2014/main" id="{939AC469-4AA4-4B70-B716-F05A787B8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739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88900</xdr:colOff>
      <xdr:row>105</xdr:row>
      <xdr:rowOff>50800</xdr:rowOff>
    </xdr:to>
    <xdr:pic>
      <xdr:nvPicPr>
        <xdr:cNvPr id="136" name="圖片 135" descr="https://www.slickcharts.com/img/up.gif">
          <a:extLst>
            <a:ext uri="{FF2B5EF4-FFF2-40B4-BE49-F238E27FC236}">
              <a16:creationId xmlns:a16="http://schemas.microsoft.com/office/drawing/2014/main" id="{CD4849C0-BBA0-4932-91FF-FF3C29734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759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88900</xdr:colOff>
      <xdr:row>12</xdr:row>
      <xdr:rowOff>50800</xdr:rowOff>
    </xdr:to>
    <xdr:pic>
      <xdr:nvPicPr>
        <xdr:cNvPr id="137" name="圖片 136" descr="https://www.slickcharts.com/img/up.gif">
          <a:extLst>
            <a:ext uri="{FF2B5EF4-FFF2-40B4-BE49-F238E27FC236}">
              <a16:creationId xmlns:a16="http://schemas.microsoft.com/office/drawing/2014/main" id="{AB859AFD-DAF6-478C-8533-8DFC207F5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780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88900</xdr:colOff>
      <xdr:row>141</xdr:row>
      <xdr:rowOff>50800</xdr:rowOff>
    </xdr:to>
    <xdr:pic>
      <xdr:nvPicPr>
        <xdr:cNvPr id="138" name="圖片 137" descr="https://www.slickcharts.com/img/up.gif">
          <a:extLst>
            <a:ext uri="{FF2B5EF4-FFF2-40B4-BE49-F238E27FC236}">
              <a16:creationId xmlns:a16="http://schemas.microsoft.com/office/drawing/2014/main" id="{6D1B06C0-D87B-479A-B09B-C7335C83C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800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88900</xdr:colOff>
      <xdr:row>11</xdr:row>
      <xdr:rowOff>50800</xdr:rowOff>
    </xdr:to>
    <xdr:pic>
      <xdr:nvPicPr>
        <xdr:cNvPr id="139" name="圖片 138" descr="https://www.slickcharts.com/img/up.gif">
          <a:extLst>
            <a:ext uri="{FF2B5EF4-FFF2-40B4-BE49-F238E27FC236}">
              <a16:creationId xmlns:a16="http://schemas.microsoft.com/office/drawing/2014/main" id="{B8A7103E-D6EA-41F2-915D-5D169E87C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820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88900</xdr:colOff>
      <xdr:row>12</xdr:row>
      <xdr:rowOff>50800</xdr:rowOff>
    </xdr:to>
    <xdr:pic>
      <xdr:nvPicPr>
        <xdr:cNvPr id="140" name="圖片 139" descr="https://www.slickcharts.com/img/up.gif">
          <a:extLst>
            <a:ext uri="{FF2B5EF4-FFF2-40B4-BE49-F238E27FC236}">
              <a16:creationId xmlns:a16="http://schemas.microsoft.com/office/drawing/2014/main" id="{92AA8AA1-8B3C-4D23-B4C2-93459E4C6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840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88900</xdr:colOff>
      <xdr:row>106</xdr:row>
      <xdr:rowOff>50800</xdr:rowOff>
    </xdr:to>
    <xdr:pic>
      <xdr:nvPicPr>
        <xdr:cNvPr id="141" name="圖片 140" descr="https://www.slickcharts.com/img/up.gif">
          <a:extLst>
            <a:ext uri="{FF2B5EF4-FFF2-40B4-BE49-F238E27FC236}">
              <a16:creationId xmlns:a16="http://schemas.microsoft.com/office/drawing/2014/main" id="{12D40CD7-92C7-4422-89CE-97C4B391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861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88900</xdr:colOff>
      <xdr:row>142</xdr:row>
      <xdr:rowOff>50800</xdr:rowOff>
    </xdr:to>
    <xdr:pic>
      <xdr:nvPicPr>
        <xdr:cNvPr id="142" name="圖片 141" descr="https://www.slickcharts.com/img/up.gif">
          <a:extLst>
            <a:ext uri="{FF2B5EF4-FFF2-40B4-BE49-F238E27FC236}">
              <a16:creationId xmlns:a16="http://schemas.microsoft.com/office/drawing/2014/main" id="{334B97EE-E84F-46FD-A160-28FE6C0F9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881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88900</xdr:colOff>
      <xdr:row>143</xdr:row>
      <xdr:rowOff>50800</xdr:rowOff>
    </xdr:to>
    <xdr:pic>
      <xdr:nvPicPr>
        <xdr:cNvPr id="143" name="圖片 142" descr="https://www.slickcharts.com/img/up.gif">
          <a:extLst>
            <a:ext uri="{FF2B5EF4-FFF2-40B4-BE49-F238E27FC236}">
              <a16:creationId xmlns:a16="http://schemas.microsoft.com/office/drawing/2014/main" id="{6CD680A1-BD4F-4C8E-ADFC-46342895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901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88900</xdr:colOff>
      <xdr:row>144</xdr:row>
      <xdr:rowOff>50800</xdr:rowOff>
    </xdr:to>
    <xdr:pic>
      <xdr:nvPicPr>
        <xdr:cNvPr id="144" name="圖片 143" descr="https://www.slickcharts.com/img/up.gif">
          <a:extLst>
            <a:ext uri="{FF2B5EF4-FFF2-40B4-BE49-F238E27FC236}">
              <a16:creationId xmlns:a16="http://schemas.microsoft.com/office/drawing/2014/main" id="{49CAEA61-106E-4DC8-B926-08B11253B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922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88900</xdr:colOff>
      <xdr:row>12</xdr:row>
      <xdr:rowOff>50800</xdr:rowOff>
    </xdr:to>
    <xdr:pic>
      <xdr:nvPicPr>
        <xdr:cNvPr id="145" name="圖片 144" descr="https://www.slickcharts.com/img/up.gif">
          <a:extLst>
            <a:ext uri="{FF2B5EF4-FFF2-40B4-BE49-F238E27FC236}">
              <a16:creationId xmlns:a16="http://schemas.microsoft.com/office/drawing/2014/main" id="{C0287776-88B1-478B-B4F1-72FA1952E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942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88900</xdr:colOff>
      <xdr:row>145</xdr:row>
      <xdr:rowOff>50800</xdr:rowOff>
    </xdr:to>
    <xdr:pic>
      <xdr:nvPicPr>
        <xdr:cNvPr id="146" name="圖片 145" descr="https://www.slickcharts.com/img/up.gif">
          <a:extLst>
            <a:ext uri="{FF2B5EF4-FFF2-40B4-BE49-F238E27FC236}">
              <a16:creationId xmlns:a16="http://schemas.microsoft.com/office/drawing/2014/main" id="{EB08B1B0-4F27-4838-B378-B76250CAB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962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88900</xdr:colOff>
      <xdr:row>63</xdr:row>
      <xdr:rowOff>50800</xdr:rowOff>
    </xdr:to>
    <xdr:pic>
      <xdr:nvPicPr>
        <xdr:cNvPr id="147" name="圖片 146" descr="https://www.slickcharts.com/img/up.gif">
          <a:extLst>
            <a:ext uri="{FF2B5EF4-FFF2-40B4-BE49-F238E27FC236}">
              <a16:creationId xmlns:a16="http://schemas.microsoft.com/office/drawing/2014/main" id="{85BC32B4-F53C-418C-B57E-5F3BBD89A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2983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88900</xdr:colOff>
      <xdr:row>146</xdr:row>
      <xdr:rowOff>50800</xdr:rowOff>
    </xdr:to>
    <xdr:pic>
      <xdr:nvPicPr>
        <xdr:cNvPr id="148" name="圖片 147" descr="https://www.slickcharts.com/img/up.gif">
          <a:extLst>
            <a:ext uri="{FF2B5EF4-FFF2-40B4-BE49-F238E27FC236}">
              <a16:creationId xmlns:a16="http://schemas.microsoft.com/office/drawing/2014/main" id="{E285FAAC-65B8-46E4-B4B8-3FC6B082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003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88900</xdr:colOff>
      <xdr:row>64</xdr:row>
      <xdr:rowOff>50800</xdr:rowOff>
    </xdr:to>
    <xdr:pic>
      <xdr:nvPicPr>
        <xdr:cNvPr id="149" name="圖片 148" descr="https://www.slickcharts.com/img/down.gif">
          <a:extLst>
            <a:ext uri="{FF2B5EF4-FFF2-40B4-BE49-F238E27FC236}">
              <a16:creationId xmlns:a16="http://schemas.microsoft.com/office/drawing/2014/main" id="{6E651E07-BDC1-4941-A592-0D56440ED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023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88900</xdr:colOff>
      <xdr:row>11</xdr:row>
      <xdr:rowOff>50800</xdr:rowOff>
    </xdr:to>
    <xdr:pic>
      <xdr:nvPicPr>
        <xdr:cNvPr id="150" name="圖片 149" descr="https://www.slickcharts.com/img/up.gif">
          <a:extLst>
            <a:ext uri="{FF2B5EF4-FFF2-40B4-BE49-F238E27FC236}">
              <a16:creationId xmlns:a16="http://schemas.microsoft.com/office/drawing/2014/main" id="{17B269E0-16C9-464B-A9BB-DE7EB997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044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88900</xdr:colOff>
      <xdr:row>147</xdr:row>
      <xdr:rowOff>50800</xdr:rowOff>
    </xdr:to>
    <xdr:pic>
      <xdr:nvPicPr>
        <xdr:cNvPr id="151" name="圖片 150" descr="https://www.slickcharts.com/img/up.gif">
          <a:extLst>
            <a:ext uri="{FF2B5EF4-FFF2-40B4-BE49-F238E27FC236}">
              <a16:creationId xmlns:a16="http://schemas.microsoft.com/office/drawing/2014/main" id="{79225F57-9171-4559-B297-96B477A71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064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88900</xdr:colOff>
      <xdr:row>148</xdr:row>
      <xdr:rowOff>50800</xdr:rowOff>
    </xdr:to>
    <xdr:pic>
      <xdr:nvPicPr>
        <xdr:cNvPr id="152" name="圖片 151" descr="https://www.slickcharts.com/img/down.gif">
          <a:extLst>
            <a:ext uri="{FF2B5EF4-FFF2-40B4-BE49-F238E27FC236}">
              <a16:creationId xmlns:a16="http://schemas.microsoft.com/office/drawing/2014/main" id="{B55EF4DA-3BED-41BD-BB29-B27CB015B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084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88900</xdr:colOff>
      <xdr:row>149</xdr:row>
      <xdr:rowOff>50800</xdr:rowOff>
    </xdr:to>
    <xdr:pic>
      <xdr:nvPicPr>
        <xdr:cNvPr id="153" name="圖片 152" descr="https://www.slickcharts.com/img/up.gif">
          <a:extLst>
            <a:ext uri="{FF2B5EF4-FFF2-40B4-BE49-F238E27FC236}">
              <a16:creationId xmlns:a16="http://schemas.microsoft.com/office/drawing/2014/main" id="{7AB628F3-052F-46A1-A877-756FDB2D9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105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88900</xdr:colOff>
      <xdr:row>65</xdr:row>
      <xdr:rowOff>50800</xdr:rowOff>
    </xdr:to>
    <xdr:pic>
      <xdr:nvPicPr>
        <xdr:cNvPr id="154" name="圖片 153" descr="https://www.slickcharts.com/img/up.gif">
          <a:extLst>
            <a:ext uri="{FF2B5EF4-FFF2-40B4-BE49-F238E27FC236}">
              <a16:creationId xmlns:a16="http://schemas.microsoft.com/office/drawing/2014/main" id="{74E643B3-2B67-40FD-8794-8B7FF8A18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125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88900</xdr:colOff>
      <xdr:row>150</xdr:row>
      <xdr:rowOff>50800</xdr:rowOff>
    </xdr:to>
    <xdr:pic>
      <xdr:nvPicPr>
        <xdr:cNvPr id="155" name="圖片 154" descr="https://www.slickcharts.com/img/up.gif">
          <a:extLst>
            <a:ext uri="{FF2B5EF4-FFF2-40B4-BE49-F238E27FC236}">
              <a16:creationId xmlns:a16="http://schemas.microsoft.com/office/drawing/2014/main" id="{35E50EE5-F6A7-4525-9750-A3F2511BA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145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88900</xdr:colOff>
      <xdr:row>151</xdr:row>
      <xdr:rowOff>50800</xdr:rowOff>
    </xdr:to>
    <xdr:pic>
      <xdr:nvPicPr>
        <xdr:cNvPr id="156" name="圖片 155" descr="https://www.slickcharts.com/img/up.gif">
          <a:extLst>
            <a:ext uri="{FF2B5EF4-FFF2-40B4-BE49-F238E27FC236}">
              <a16:creationId xmlns:a16="http://schemas.microsoft.com/office/drawing/2014/main" id="{76FB8D7E-C55C-468D-AA30-F662E04B7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166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88900</xdr:colOff>
      <xdr:row>152</xdr:row>
      <xdr:rowOff>50800</xdr:rowOff>
    </xdr:to>
    <xdr:pic>
      <xdr:nvPicPr>
        <xdr:cNvPr id="157" name="圖片 156" descr="https://www.slickcharts.com/img/up.gif">
          <a:extLst>
            <a:ext uri="{FF2B5EF4-FFF2-40B4-BE49-F238E27FC236}">
              <a16:creationId xmlns:a16="http://schemas.microsoft.com/office/drawing/2014/main" id="{E19EC11C-B0FA-4631-92B3-29F271540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186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88900</xdr:colOff>
      <xdr:row>153</xdr:row>
      <xdr:rowOff>50800</xdr:rowOff>
    </xdr:to>
    <xdr:pic>
      <xdr:nvPicPr>
        <xdr:cNvPr id="158" name="圖片 157" descr="https://www.slickcharts.com/img/up.gif">
          <a:extLst>
            <a:ext uri="{FF2B5EF4-FFF2-40B4-BE49-F238E27FC236}">
              <a16:creationId xmlns:a16="http://schemas.microsoft.com/office/drawing/2014/main" id="{269D3D7E-6783-4447-902F-E4BAB66F6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206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88900</xdr:colOff>
      <xdr:row>154</xdr:row>
      <xdr:rowOff>50800</xdr:rowOff>
    </xdr:to>
    <xdr:pic>
      <xdr:nvPicPr>
        <xdr:cNvPr id="159" name="圖片 158" descr="https://www.slickcharts.com/img/up.gif">
          <a:extLst>
            <a:ext uri="{FF2B5EF4-FFF2-40B4-BE49-F238E27FC236}">
              <a16:creationId xmlns:a16="http://schemas.microsoft.com/office/drawing/2014/main" id="{39BD484A-6F49-485B-AD38-A0D40B96B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227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88900</xdr:colOff>
      <xdr:row>155</xdr:row>
      <xdr:rowOff>50800</xdr:rowOff>
    </xdr:to>
    <xdr:pic>
      <xdr:nvPicPr>
        <xdr:cNvPr id="160" name="圖片 159" descr="https://www.slickcharts.com/img/up.gif">
          <a:extLst>
            <a:ext uri="{FF2B5EF4-FFF2-40B4-BE49-F238E27FC236}">
              <a16:creationId xmlns:a16="http://schemas.microsoft.com/office/drawing/2014/main" id="{1FBF0E5F-6819-4EE5-B0E8-EEC313075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247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88900</xdr:colOff>
      <xdr:row>156</xdr:row>
      <xdr:rowOff>50800</xdr:rowOff>
    </xdr:to>
    <xdr:pic>
      <xdr:nvPicPr>
        <xdr:cNvPr id="161" name="圖片 160" descr="https://www.slickcharts.com/img/up.gif">
          <a:extLst>
            <a:ext uri="{FF2B5EF4-FFF2-40B4-BE49-F238E27FC236}">
              <a16:creationId xmlns:a16="http://schemas.microsoft.com/office/drawing/2014/main" id="{84A147A1-5268-453C-9B34-83DAB9C51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267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88900</xdr:colOff>
      <xdr:row>157</xdr:row>
      <xdr:rowOff>50800</xdr:rowOff>
    </xdr:to>
    <xdr:pic>
      <xdr:nvPicPr>
        <xdr:cNvPr id="162" name="圖片 161" descr="https://www.slickcharts.com/img/up.gif">
          <a:extLst>
            <a:ext uri="{FF2B5EF4-FFF2-40B4-BE49-F238E27FC236}">
              <a16:creationId xmlns:a16="http://schemas.microsoft.com/office/drawing/2014/main" id="{23390936-EE4D-4312-975E-2C321692F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288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88900</xdr:colOff>
      <xdr:row>66</xdr:row>
      <xdr:rowOff>50800</xdr:rowOff>
    </xdr:to>
    <xdr:pic>
      <xdr:nvPicPr>
        <xdr:cNvPr id="163" name="圖片 162" descr="https://www.slickcharts.com/img/up.gif">
          <a:extLst>
            <a:ext uri="{FF2B5EF4-FFF2-40B4-BE49-F238E27FC236}">
              <a16:creationId xmlns:a16="http://schemas.microsoft.com/office/drawing/2014/main" id="{81C51AD3-020C-46BD-A1DD-C3712639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308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88900</xdr:colOff>
      <xdr:row>158</xdr:row>
      <xdr:rowOff>50800</xdr:rowOff>
    </xdr:to>
    <xdr:pic>
      <xdr:nvPicPr>
        <xdr:cNvPr id="164" name="圖片 163" descr="https://www.slickcharts.com/img/up.gif">
          <a:extLst>
            <a:ext uri="{FF2B5EF4-FFF2-40B4-BE49-F238E27FC236}">
              <a16:creationId xmlns:a16="http://schemas.microsoft.com/office/drawing/2014/main" id="{F14BA32B-B678-4B4E-BDDE-2DEB9C311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328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88900</xdr:colOff>
      <xdr:row>159</xdr:row>
      <xdr:rowOff>50800</xdr:rowOff>
    </xdr:to>
    <xdr:pic>
      <xdr:nvPicPr>
        <xdr:cNvPr id="165" name="圖片 164" descr="https://www.slickcharts.com/img/up.gif">
          <a:extLst>
            <a:ext uri="{FF2B5EF4-FFF2-40B4-BE49-F238E27FC236}">
              <a16:creationId xmlns:a16="http://schemas.microsoft.com/office/drawing/2014/main" id="{0F4F2CB6-C000-44E4-987F-D5C0D84C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348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88900</xdr:colOff>
      <xdr:row>160</xdr:row>
      <xdr:rowOff>50800</xdr:rowOff>
    </xdr:to>
    <xdr:pic>
      <xdr:nvPicPr>
        <xdr:cNvPr id="166" name="圖片 165" descr="https://www.slickcharts.com/img/up.gif">
          <a:extLst>
            <a:ext uri="{FF2B5EF4-FFF2-40B4-BE49-F238E27FC236}">
              <a16:creationId xmlns:a16="http://schemas.microsoft.com/office/drawing/2014/main" id="{17952237-2CC2-45A4-86BC-9CF4CE43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369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88900</xdr:colOff>
      <xdr:row>161</xdr:row>
      <xdr:rowOff>50800</xdr:rowOff>
    </xdr:to>
    <xdr:pic>
      <xdr:nvPicPr>
        <xdr:cNvPr id="167" name="圖片 166" descr="https://www.slickcharts.com/img/up.gif">
          <a:extLst>
            <a:ext uri="{FF2B5EF4-FFF2-40B4-BE49-F238E27FC236}">
              <a16:creationId xmlns:a16="http://schemas.microsoft.com/office/drawing/2014/main" id="{D323257F-564F-4053-975E-4EFCD176E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389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88900</xdr:colOff>
      <xdr:row>162</xdr:row>
      <xdr:rowOff>50800</xdr:rowOff>
    </xdr:to>
    <xdr:pic>
      <xdr:nvPicPr>
        <xdr:cNvPr id="168" name="圖片 167" descr="https://www.slickcharts.com/img/up.gif">
          <a:extLst>
            <a:ext uri="{FF2B5EF4-FFF2-40B4-BE49-F238E27FC236}">
              <a16:creationId xmlns:a16="http://schemas.microsoft.com/office/drawing/2014/main" id="{16313523-822C-40D6-8799-B6ECBD5C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409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88900</xdr:colOff>
      <xdr:row>163</xdr:row>
      <xdr:rowOff>50800</xdr:rowOff>
    </xdr:to>
    <xdr:pic>
      <xdr:nvPicPr>
        <xdr:cNvPr id="169" name="圖片 168" descr="https://www.slickcharts.com/img/up.gif">
          <a:extLst>
            <a:ext uri="{FF2B5EF4-FFF2-40B4-BE49-F238E27FC236}">
              <a16:creationId xmlns:a16="http://schemas.microsoft.com/office/drawing/2014/main" id="{B6895FE8-EFCF-4604-BC73-133994A2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430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88900</xdr:colOff>
      <xdr:row>11</xdr:row>
      <xdr:rowOff>50800</xdr:rowOff>
    </xdr:to>
    <xdr:pic>
      <xdr:nvPicPr>
        <xdr:cNvPr id="170" name="圖片 169" descr="https://www.slickcharts.com/img/up.gif">
          <a:extLst>
            <a:ext uri="{FF2B5EF4-FFF2-40B4-BE49-F238E27FC236}">
              <a16:creationId xmlns:a16="http://schemas.microsoft.com/office/drawing/2014/main" id="{15FA1EE9-19D0-4392-B96F-BF0600532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450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88900</xdr:colOff>
      <xdr:row>164</xdr:row>
      <xdr:rowOff>50800</xdr:rowOff>
    </xdr:to>
    <xdr:pic>
      <xdr:nvPicPr>
        <xdr:cNvPr id="171" name="圖片 170" descr="https://www.slickcharts.com/img/up.gif">
          <a:extLst>
            <a:ext uri="{FF2B5EF4-FFF2-40B4-BE49-F238E27FC236}">
              <a16:creationId xmlns:a16="http://schemas.microsoft.com/office/drawing/2014/main" id="{53A7EF00-5299-42BD-ABA6-F998706B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470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88900</xdr:colOff>
      <xdr:row>165</xdr:row>
      <xdr:rowOff>50800</xdr:rowOff>
    </xdr:to>
    <xdr:pic>
      <xdr:nvPicPr>
        <xdr:cNvPr id="172" name="圖片 171" descr="https://www.slickcharts.com/img/up.gif">
          <a:extLst>
            <a:ext uri="{FF2B5EF4-FFF2-40B4-BE49-F238E27FC236}">
              <a16:creationId xmlns:a16="http://schemas.microsoft.com/office/drawing/2014/main" id="{C2CB64F4-F76C-4897-9423-6CCD6A96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491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88900</xdr:colOff>
      <xdr:row>166</xdr:row>
      <xdr:rowOff>50800</xdr:rowOff>
    </xdr:to>
    <xdr:pic>
      <xdr:nvPicPr>
        <xdr:cNvPr id="173" name="圖片 172" descr="https://www.slickcharts.com/img/up.gif">
          <a:extLst>
            <a:ext uri="{FF2B5EF4-FFF2-40B4-BE49-F238E27FC236}">
              <a16:creationId xmlns:a16="http://schemas.microsoft.com/office/drawing/2014/main" id="{FF37BD1B-7A6D-4090-877A-B989A936B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511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88900</xdr:colOff>
      <xdr:row>167</xdr:row>
      <xdr:rowOff>50800</xdr:rowOff>
    </xdr:to>
    <xdr:pic>
      <xdr:nvPicPr>
        <xdr:cNvPr id="174" name="圖片 173" descr="https://www.slickcharts.com/img/up.gif">
          <a:extLst>
            <a:ext uri="{FF2B5EF4-FFF2-40B4-BE49-F238E27FC236}">
              <a16:creationId xmlns:a16="http://schemas.microsoft.com/office/drawing/2014/main" id="{A5BA572C-08AB-4B21-A976-8DCDA8BAA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531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88900</xdr:colOff>
      <xdr:row>168</xdr:row>
      <xdr:rowOff>50800</xdr:rowOff>
    </xdr:to>
    <xdr:pic>
      <xdr:nvPicPr>
        <xdr:cNvPr id="175" name="圖片 174" descr="https://www.slickcharts.com/img/up.gif">
          <a:extLst>
            <a:ext uri="{FF2B5EF4-FFF2-40B4-BE49-F238E27FC236}">
              <a16:creationId xmlns:a16="http://schemas.microsoft.com/office/drawing/2014/main" id="{FCFCB2E4-A046-4C21-810A-6715FA09B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552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88900</xdr:colOff>
      <xdr:row>67</xdr:row>
      <xdr:rowOff>50800</xdr:rowOff>
    </xdr:to>
    <xdr:pic>
      <xdr:nvPicPr>
        <xdr:cNvPr id="176" name="圖片 175" descr="https://www.slickcharts.com/img/up.gif">
          <a:extLst>
            <a:ext uri="{FF2B5EF4-FFF2-40B4-BE49-F238E27FC236}">
              <a16:creationId xmlns:a16="http://schemas.microsoft.com/office/drawing/2014/main" id="{FF95DC92-B16C-44C2-B9AD-6F8571473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572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88900</xdr:colOff>
      <xdr:row>169</xdr:row>
      <xdr:rowOff>50800</xdr:rowOff>
    </xdr:to>
    <xdr:pic>
      <xdr:nvPicPr>
        <xdr:cNvPr id="177" name="圖片 176" descr="https://www.slickcharts.com/img/up.gif">
          <a:extLst>
            <a:ext uri="{FF2B5EF4-FFF2-40B4-BE49-F238E27FC236}">
              <a16:creationId xmlns:a16="http://schemas.microsoft.com/office/drawing/2014/main" id="{84E50DAF-6430-4C6E-8930-65B5CAE7F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592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88900</xdr:colOff>
      <xdr:row>170</xdr:row>
      <xdr:rowOff>50800</xdr:rowOff>
    </xdr:to>
    <xdr:pic>
      <xdr:nvPicPr>
        <xdr:cNvPr id="178" name="圖片 177" descr="https://www.slickcharts.com/img/up.gif">
          <a:extLst>
            <a:ext uri="{FF2B5EF4-FFF2-40B4-BE49-F238E27FC236}">
              <a16:creationId xmlns:a16="http://schemas.microsoft.com/office/drawing/2014/main" id="{BC955FB8-E390-479E-86E2-5CFF97D45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613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88900</xdr:colOff>
      <xdr:row>68</xdr:row>
      <xdr:rowOff>50800</xdr:rowOff>
    </xdr:to>
    <xdr:pic>
      <xdr:nvPicPr>
        <xdr:cNvPr id="179" name="圖片 178" descr="https://www.slickcharts.com/img/up.gif">
          <a:extLst>
            <a:ext uri="{FF2B5EF4-FFF2-40B4-BE49-F238E27FC236}">
              <a16:creationId xmlns:a16="http://schemas.microsoft.com/office/drawing/2014/main" id="{BBC91E9D-D7CE-4E79-9DAB-827C1745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633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88900</xdr:colOff>
      <xdr:row>171</xdr:row>
      <xdr:rowOff>50800</xdr:rowOff>
    </xdr:to>
    <xdr:pic>
      <xdr:nvPicPr>
        <xdr:cNvPr id="180" name="圖片 179" descr="https://www.slickcharts.com/img/up.gif">
          <a:extLst>
            <a:ext uri="{FF2B5EF4-FFF2-40B4-BE49-F238E27FC236}">
              <a16:creationId xmlns:a16="http://schemas.microsoft.com/office/drawing/2014/main" id="{C48062A7-2B9A-488D-8E0D-81DED12BF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653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88900</xdr:colOff>
      <xdr:row>172</xdr:row>
      <xdr:rowOff>50800</xdr:rowOff>
    </xdr:to>
    <xdr:pic>
      <xdr:nvPicPr>
        <xdr:cNvPr id="181" name="圖片 180" descr="https://www.slickcharts.com/img/down.gif">
          <a:extLst>
            <a:ext uri="{FF2B5EF4-FFF2-40B4-BE49-F238E27FC236}">
              <a16:creationId xmlns:a16="http://schemas.microsoft.com/office/drawing/2014/main" id="{ACE477B4-264C-4C97-92F9-4B63825FA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674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88900</xdr:colOff>
      <xdr:row>173</xdr:row>
      <xdr:rowOff>50800</xdr:rowOff>
    </xdr:to>
    <xdr:pic>
      <xdr:nvPicPr>
        <xdr:cNvPr id="182" name="圖片 181" descr="https://www.slickcharts.com/img/up.gif">
          <a:extLst>
            <a:ext uri="{FF2B5EF4-FFF2-40B4-BE49-F238E27FC236}">
              <a16:creationId xmlns:a16="http://schemas.microsoft.com/office/drawing/2014/main" id="{0C8803C5-2B25-4C09-9F38-EDF2D9ED8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694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88900</xdr:colOff>
      <xdr:row>174</xdr:row>
      <xdr:rowOff>50800</xdr:rowOff>
    </xdr:to>
    <xdr:pic>
      <xdr:nvPicPr>
        <xdr:cNvPr id="183" name="圖片 182" descr="https://www.slickcharts.com/img/up.gif">
          <a:extLst>
            <a:ext uri="{FF2B5EF4-FFF2-40B4-BE49-F238E27FC236}">
              <a16:creationId xmlns:a16="http://schemas.microsoft.com/office/drawing/2014/main" id="{D4845B9E-6F6D-4277-BB3C-C0BD22644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714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88900</xdr:colOff>
      <xdr:row>175</xdr:row>
      <xdr:rowOff>50800</xdr:rowOff>
    </xdr:to>
    <xdr:pic>
      <xdr:nvPicPr>
        <xdr:cNvPr id="184" name="圖片 183" descr="https://www.slickcharts.com/img/up.gif">
          <a:extLst>
            <a:ext uri="{FF2B5EF4-FFF2-40B4-BE49-F238E27FC236}">
              <a16:creationId xmlns:a16="http://schemas.microsoft.com/office/drawing/2014/main" id="{0C375297-5F72-4971-A6C6-D19178CC8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735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88900</xdr:colOff>
      <xdr:row>176</xdr:row>
      <xdr:rowOff>50800</xdr:rowOff>
    </xdr:to>
    <xdr:pic>
      <xdr:nvPicPr>
        <xdr:cNvPr id="185" name="圖片 184" descr="https://www.slickcharts.com/img/down.gif">
          <a:extLst>
            <a:ext uri="{FF2B5EF4-FFF2-40B4-BE49-F238E27FC236}">
              <a16:creationId xmlns:a16="http://schemas.microsoft.com/office/drawing/2014/main" id="{91A6CC67-C02E-4F88-9F6A-5E60A3F1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755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88900</xdr:colOff>
      <xdr:row>177</xdr:row>
      <xdr:rowOff>50800</xdr:rowOff>
    </xdr:to>
    <xdr:pic>
      <xdr:nvPicPr>
        <xdr:cNvPr id="186" name="圖片 185" descr="https://www.slickcharts.com/img/down.gif">
          <a:extLst>
            <a:ext uri="{FF2B5EF4-FFF2-40B4-BE49-F238E27FC236}">
              <a16:creationId xmlns:a16="http://schemas.microsoft.com/office/drawing/2014/main" id="{837E41AC-7EDC-430A-AFBE-B9E7C3F6B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775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88900</xdr:colOff>
      <xdr:row>178</xdr:row>
      <xdr:rowOff>50800</xdr:rowOff>
    </xdr:to>
    <xdr:pic>
      <xdr:nvPicPr>
        <xdr:cNvPr id="187" name="圖片 186" descr="https://www.slickcharts.com/img/up.gif">
          <a:extLst>
            <a:ext uri="{FF2B5EF4-FFF2-40B4-BE49-F238E27FC236}">
              <a16:creationId xmlns:a16="http://schemas.microsoft.com/office/drawing/2014/main" id="{F35281C7-6661-45F9-874C-D98ED14E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796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88900</xdr:colOff>
      <xdr:row>179</xdr:row>
      <xdr:rowOff>50800</xdr:rowOff>
    </xdr:to>
    <xdr:pic>
      <xdr:nvPicPr>
        <xdr:cNvPr id="188" name="圖片 187" descr="https://www.slickcharts.com/img/down.gif">
          <a:extLst>
            <a:ext uri="{FF2B5EF4-FFF2-40B4-BE49-F238E27FC236}">
              <a16:creationId xmlns:a16="http://schemas.microsoft.com/office/drawing/2014/main" id="{D69E9F53-ADDA-4FCB-8A75-718D762A4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816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88900</xdr:colOff>
      <xdr:row>180</xdr:row>
      <xdr:rowOff>50800</xdr:rowOff>
    </xdr:to>
    <xdr:pic>
      <xdr:nvPicPr>
        <xdr:cNvPr id="189" name="圖片 188" descr="https://www.slickcharts.com/img/up.gif">
          <a:extLst>
            <a:ext uri="{FF2B5EF4-FFF2-40B4-BE49-F238E27FC236}">
              <a16:creationId xmlns:a16="http://schemas.microsoft.com/office/drawing/2014/main" id="{FA4F0097-8924-46E2-B942-C4BE3DDE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836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88900</xdr:colOff>
      <xdr:row>4</xdr:row>
      <xdr:rowOff>50800</xdr:rowOff>
    </xdr:to>
    <xdr:pic>
      <xdr:nvPicPr>
        <xdr:cNvPr id="190" name="圖片 189" descr="https://www.slickcharts.com/img/up.gif">
          <a:extLst>
            <a:ext uri="{FF2B5EF4-FFF2-40B4-BE49-F238E27FC236}">
              <a16:creationId xmlns:a16="http://schemas.microsoft.com/office/drawing/2014/main" id="{A69D9CFE-508A-49CA-8AE0-E766E70C1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856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88900</xdr:colOff>
      <xdr:row>69</xdr:row>
      <xdr:rowOff>50800</xdr:rowOff>
    </xdr:to>
    <xdr:pic>
      <xdr:nvPicPr>
        <xdr:cNvPr id="191" name="圖片 190" descr="https://www.slickcharts.com/img/up.gif">
          <a:extLst>
            <a:ext uri="{FF2B5EF4-FFF2-40B4-BE49-F238E27FC236}">
              <a16:creationId xmlns:a16="http://schemas.microsoft.com/office/drawing/2014/main" id="{D34C27FA-9BC1-4700-862B-474786914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877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88900</xdr:colOff>
      <xdr:row>70</xdr:row>
      <xdr:rowOff>50800</xdr:rowOff>
    </xdr:to>
    <xdr:pic>
      <xdr:nvPicPr>
        <xdr:cNvPr id="192" name="圖片 191" descr="https://www.slickcharts.com/img/up.gif">
          <a:extLst>
            <a:ext uri="{FF2B5EF4-FFF2-40B4-BE49-F238E27FC236}">
              <a16:creationId xmlns:a16="http://schemas.microsoft.com/office/drawing/2014/main" id="{EAA68AC6-9C72-4A5D-A789-D75F68DE3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897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88900</xdr:colOff>
      <xdr:row>107</xdr:row>
      <xdr:rowOff>50800</xdr:rowOff>
    </xdr:to>
    <xdr:pic>
      <xdr:nvPicPr>
        <xdr:cNvPr id="193" name="圖片 192" descr="https://www.slickcharts.com/img/up.gif">
          <a:extLst>
            <a:ext uri="{FF2B5EF4-FFF2-40B4-BE49-F238E27FC236}">
              <a16:creationId xmlns:a16="http://schemas.microsoft.com/office/drawing/2014/main" id="{C104863B-F2A3-4E37-8E07-B2DC1F59C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917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88900</xdr:colOff>
      <xdr:row>4</xdr:row>
      <xdr:rowOff>50800</xdr:rowOff>
    </xdr:to>
    <xdr:pic>
      <xdr:nvPicPr>
        <xdr:cNvPr id="194" name="圖片 193" descr="https://www.slickcharts.com/img/down.gif">
          <a:extLst>
            <a:ext uri="{FF2B5EF4-FFF2-40B4-BE49-F238E27FC236}">
              <a16:creationId xmlns:a16="http://schemas.microsoft.com/office/drawing/2014/main" id="{2CBC7FA5-4C1C-4D27-9653-A232BFF0D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938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88900</xdr:colOff>
      <xdr:row>4</xdr:row>
      <xdr:rowOff>50800</xdr:rowOff>
    </xdr:to>
    <xdr:pic>
      <xdr:nvPicPr>
        <xdr:cNvPr id="195" name="圖片 194" descr="https://www.slickcharts.com/img/up.gif">
          <a:extLst>
            <a:ext uri="{FF2B5EF4-FFF2-40B4-BE49-F238E27FC236}">
              <a16:creationId xmlns:a16="http://schemas.microsoft.com/office/drawing/2014/main" id="{B4B663F2-C206-4CE0-9BD0-86B18EB01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958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88900</xdr:colOff>
      <xdr:row>181</xdr:row>
      <xdr:rowOff>50800</xdr:rowOff>
    </xdr:to>
    <xdr:pic>
      <xdr:nvPicPr>
        <xdr:cNvPr id="196" name="圖片 195" descr="https://www.slickcharts.com/img/up.gif">
          <a:extLst>
            <a:ext uri="{FF2B5EF4-FFF2-40B4-BE49-F238E27FC236}">
              <a16:creationId xmlns:a16="http://schemas.microsoft.com/office/drawing/2014/main" id="{EE207647-DA38-4DEC-8821-9E400F6A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978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88900</xdr:colOff>
      <xdr:row>182</xdr:row>
      <xdr:rowOff>50800</xdr:rowOff>
    </xdr:to>
    <xdr:pic>
      <xdr:nvPicPr>
        <xdr:cNvPr id="197" name="圖片 196" descr="https://www.slickcharts.com/img/up.gif">
          <a:extLst>
            <a:ext uri="{FF2B5EF4-FFF2-40B4-BE49-F238E27FC236}">
              <a16:creationId xmlns:a16="http://schemas.microsoft.com/office/drawing/2014/main" id="{2D7FC3D6-6B61-491E-B9D8-DD9FE967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3999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88900</xdr:colOff>
      <xdr:row>183</xdr:row>
      <xdr:rowOff>50800</xdr:rowOff>
    </xdr:to>
    <xdr:pic>
      <xdr:nvPicPr>
        <xdr:cNvPr id="198" name="圖片 197" descr="https://www.slickcharts.com/img/up.gif">
          <a:extLst>
            <a:ext uri="{FF2B5EF4-FFF2-40B4-BE49-F238E27FC236}">
              <a16:creationId xmlns:a16="http://schemas.microsoft.com/office/drawing/2014/main" id="{FE3C64B9-8FF6-4686-9852-C608D0571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019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88900</xdr:colOff>
      <xdr:row>184</xdr:row>
      <xdr:rowOff>50800</xdr:rowOff>
    </xdr:to>
    <xdr:pic>
      <xdr:nvPicPr>
        <xdr:cNvPr id="199" name="圖片 198" descr="https://www.slickcharts.com/img/up.gif">
          <a:extLst>
            <a:ext uri="{FF2B5EF4-FFF2-40B4-BE49-F238E27FC236}">
              <a16:creationId xmlns:a16="http://schemas.microsoft.com/office/drawing/2014/main" id="{669518E1-95BA-4774-BAE6-14322D4D2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039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88900</xdr:colOff>
      <xdr:row>185</xdr:row>
      <xdr:rowOff>50800</xdr:rowOff>
    </xdr:to>
    <xdr:pic>
      <xdr:nvPicPr>
        <xdr:cNvPr id="200" name="圖片 199" descr="https://www.slickcharts.com/img/up.gif">
          <a:extLst>
            <a:ext uri="{FF2B5EF4-FFF2-40B4-BE49-F238E27FC236}">
              <a16:creationId xmlns:a16="http://schemas.microsoft.com/office/drawing/2014/main" id="{EE47DD59-6B62-452F-B823-86AEC24E1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060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88900</xdr:colOff>
      <xdr:row>4</xdr:row>
      <xdr:rowOff>50800</xdr:rowOff>
    </xdr:to>
    <xdr:pic>
      <xdr:nvPicPr>
        <xdr:cNvPr id="201" name="圖片 200" descr="https://www.slickcharts.com/img/up.gif">
          <a:extLst>
            <a:ext uri="{FF2B5EF4-FFF2-40B4-BE49-F238E27FC236}">
              <a16:creationId xmlns:a16="http://schemas.microsoft.com/office/drawing/2014/main" id="{08295172-0F59-4972-BD94-E83E6F9A1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080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71</xdr:row>
      <xdr:rowOff>0</xdr:rowOff>
    </xdr:from>
    <xdr:to>
      <xdr:col>7</xdr:col>
      <xdr:colOff>88900</xdr:colOff>
      <xdr:row>71</xdr:row>
      <xdr:rowOff>50800</xdr:rowOff>
    </xdr:to>
    <xdr:pic>
      <xdr:nvPicPr>
        <xdr:cNvPr id="202" name="圖片 201" descr="https://www.slickcharts.com/img/up.gif">
          <a:extLst>
            <a:ext uri="{FF2B5EF4-FFF2-40B4-BE49-F238E27FC236}">
              <a16:creationId xmlns:a16="http://schemas.microsoft.com/office/drawing/2014/main" id="{BB789816-03F1-4AAD-B63F-13E945D0D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100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88900</xdr:colOff>
      <xdr:row>186</xdr:row>
      <xdr:rowOff>50800</xdr:rowOff>
    </xdr:to>
    <xdr:pic>
      <xdr:nvPicPr>
        <xdr:cNvPr id="203" name="圖片 202" descr="https://www.slickcharts.com/img/up.gif">
          <a:extLst>
            <a:ext uri="{FF2B5EF4-FFF2-40B4-BE49-F238E27FC236}">
              <a16:creationId xmlns:a16="http://schemas.microsoft.com/office/drawing/2014/main" id="{634226D4-93EA-4C31-840D-C524D907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121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88900</xdr:colOff>
      <xdr:row>187</xdr:row>
      <xdr:rowOff>50800</xdr:rowOff>
    </xdr:to>
    <xdr:pic>
      <xdr:nvPicPr>
        <xdr:cNvPr id="204" name="圖片 203" descr="https://www.slickcharts.com/img/up.gif">
          <a:extLst>
            <a:ext uri="{FF2B5EF4-FFF2-40B4-BE49-F238E27FC236}">
              <a16:creationId xmlns:a16="http://schemas.microsoft.com/office/drawing/2014/main" id="{A77087A9-384F-4385-8DD3-D8EBE952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141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88900</xdr:colOff>
      <xdr:row>188</xdr:row>
      <xdr:rowOff>50800</xdr:rowOff>
    </xdr:to>
    <xdr:pic>
      <xdr:nvPicPr>
        <xdr:cNvPr id="205" name="圖片 204" descr="https://www.slickcharts.com/img/up.gif">
          <a:extLst>
            <a:ext uri="{FF2B5EF4-FFF2-40B4-BE49-F238E27FC236}">
              <a16:creationId xmlns:a16="http://schemas.microsoft.com/office/drawing/2014/main" id="{71CFBD20-2E47-49CC-B159-4C66538CC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161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88900</xdr:colOff>
      <xdr:row>189</xdr:row>
      <xdr:rowOff>50800</xdr:rowOff>
    </xdr:to>
    <xdr:pic>
      <xdr:nvPicPr>
        <xdr:cNvPr id="206" name="圖片 205" descr="https://www.slickcharts.com/img/up.gif">
          <a:extLst>
            <a:ext uri="{FF2B5EF4-FFF2-40B4-BE49-F238E27FC236}">
              <a16:creationId xmlns:a16="http://schemas.microsoft.com/office/drawing/2014/main" id="{B3C5D996-0805-48FA-AEF0-751D1F905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182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88900</xdr:colOff>
      <xdr:row>190</xdr:row>
      <xdr:rowOff>50800</xdr:rowOff>
    </xdr:to>
    <xdr:pic>
      <xdr:nvPicPr>
        <xdr:cNvPr id="207" name="圖片 206" descr="https://www.slickcharts.com/img/up.gif">
          <a:extLst>
            <a:ext uri="{FF2B5EF4-FFF2-40B4-BE49-F238E27FC236}">
              <a16:creationId xmlns:a16="http://schemas.microsoft.com/office/drawing/2014/main" id="{46940FC8-15A8-4FA0-84DA-9DBAD1CB1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202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88900</xdr:colOff>
      <xdr:row>191</xdr:row>
      <xdr:rowOff>50800</xdr:rowOff>
    </xdr:to>
    <xdr:pic>
      <xdr:nvPicPr>
        <xdr:cNvPr id="208" name="圖片 207" descr="https://www.slickcharts.com/img/up.gif">
          <a:extLst>
            <a:ext uri="{FF2B5EF4-FFF2-40B4-BE49-F238E27FC236}">
              <a16:creationId xmlns:a16="http://schemas.microsoft.com/office/drawing/2014/main" id="{8CA3DA1E-3BCC-42FC-BC1C-AC96523E9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222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88900</xdr:colOff>
      <xdr:row>192</xdr:row>
      <xdr:rowOff>50800</xdr:rowOff>
    </xdr:to>
    <xdr:pic>
      <xdr:nvPicPr>
        <xdr:cNvPr id="209" name="圖片 208" descr="https://www.slickcharts.com/img/up.gif">
          <a:extLst>
            <a:ext uri="{FF2B5EF4-FFF2-40B4-BE49-F238E27FC236}">
              <a16:creationId xmlns:a16="http://schemas.microsoft.com/office/drawing/2014/main" id="{8EA2A8A6-894C-4575-B545-D80CC42E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243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88900</xdr:colOff>
      <xdr:row>193</xdr:row>
      <xdr:rowOff>50800</xdr:rowOff>
    </xdr:to>
    <xdr:pic>
      <xdr:nvPicPr>
        <xdr:cNvPr id="210" name="圖片 209" descr="https://www.slickcharts.com/img/up.gif">
          <a:extLst>
            <a:ext uri="{FF2B5EF4-FFF2-40B4-BE49-F238E27FC236}">
              <a16:creationId xmlns:a16="http://schemas.microsoft.com/office/drawing/2014/main" id="{D640E326-E716-4B1C-B881-F9C3D47C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263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88900</xdr:colOff>
      <xdr:row>194</xdr:row>
      <xdr:rowOff>50800</xdr:rowOff>
    </xdr:to>
    <xdr:pic>
      <xdr:nvPicPr>
        <xdr:cNvPr id="211" name="圖片 210" descr="https://www.slickcharts.com/img/up.gif">
          <a:extLst>
            <a:ext uri="{FF2B5EF4-FFF2-40B4-BE49-F238E27FC236}">
              <a16:creationId xmlns:a16="http://schemas.microsoft.com/office/drawing/2014/main" id="{181CD3DF-1DD4-42F7-902E-921C942D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283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88900</xdr:colOff>
      <xdr:row>72</xdr:row>
      <xdr:rowOff>50800</xdr:rowOff>
    </xdr:to>
    <xdr:pic>
      <xdr:nvPicPr>
        <xdr:cNvPr id="212" name="圖片 211" descr="https://www.slickcharts.com/img/up.gif">
          <a:extLst>
            <a:ext uri="{FF2B5EF4-FFF2-40B4-BE49-F238E27FC236}">
              <a16:creationId xmlns:a16="http://schemas.microsoft.com/office/drawing/2014/main" id="{46F92C6F-686C-4D79-B5DF-9A7DA103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304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88900</xdr:colOff>
      <xdr:row>195</xdr:row>
      <xdr:rowOff>50800</xdr:rowOff>
    </xdr:to>
    <xdr:pic>
      <xdr:nvPicPr>
        <xdr:cNvPr id="213" name="圖片 212" descr="https://www.slickcharts.com/img/up.gif">
          <a:extLst>
            <a:ext uri="{FF2B5EF4-FFF2-40B4-BE49-F238E27FC236}">
              <a16:creationId xmlns:a16="http://schemas.microsoft.com/office/drawing/2014/main" id="{4CDDDB02-D35D-4954-BFDD-26EFD0269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324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88900</xdr:colOff>
      <xdr:row>73</xdr:row>
      <xdr:rowOff>50800</xdr:rowOff>
    </xdr:to>
    <xdr:pic>
      <xdr:nvPicPr>
        <xdr:cNvPr id="214" name="圖片 213" descr="https://www.slickcharts.com/img/up.gif">
          <a:extLst>
            <a:ext uri="{FF2B5EF4-FFF2-40B4-BE49-F238E27FC236}">
              <a16:creationId xmlns:a16="http://schemas.microsoft.com/office/drawing/2014/main" id="{D444040A-0498-463D-9BDF-2D4DE81B6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344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88900</xdr:colOff>
      <xdr:row>74</xdr:row>
      <xdr:rowOff>50800</xdr:rowOff>
    </xdr:to>
    <xdr:pic>
      <xdr:nvPicPr>
        <xdr:cNvPr id="215" name="圖片 214" descr="https://www.slickcharts.com/img/up.gif">
          <a:extLst>
            <a:ext uri="{FF2B5EF4-FFF2-40B4-BE49-F238E27FC236}">
              <a16:creationId xmlns:a16="http://schemas.microsoft.com/office/drawing/2014/main" id="{EF16C7E8-4E69-4733-AC23-60BC7C51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364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88900</xdr:colOff>
      <xdr:row>196</xdr:row>
      <xdr:rowOff>50800</xdr:rowOff>
    </xdr:to>
    <xdr:pic>
      <xdr:nvPicPr>
        <xdr:cNvPr id="216" name="圖片 215" descr="https://www.slickcharts.com/img/up.gif">
          <a:extLst>
            <a:ext uri="{FF2B5EF4-FFF2-40B4-BE49-F238E27FC236}">
              <a16:creationId xmlns:a16="http://schemas.microsoft.com/office/drawing/2014/main" id="{77792D51-3CF5-444E-8032-3B5AC47FB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385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88900</xdr:colOff>
      <xdr:row>197</xdr:row>
      <xdr:rowOff>50800</xdr:rowOff>
    </xdr:to>
    <xdr:pic>
      <xdr:nvPicPr>
        <xdr:cNvPr id="217" name="圖片 216" descr="https://www.slickcharts.com/img/up.gif">
          <a:extLst>
            <a:ext uri="{FF2B5EF4-FFF2-40B4-BE49-F238E27FC236}">
              <a16:creationId xmlns:a16="http://schemas.microsoft.com/office/drawing/2014/main" id="{AA0D18D4-133E-47EE-A57D-249FA5F14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405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88900</xdr:colOff>
      <xdr:row>75</xdr:row>
      <xdr:rowOff>50800</xdr:rowOff>
    </xdr:to>
    <xdr:pic>
      <xdr:nvPicPr>
        <xdr:cNvPr id="218" name="圖片 217" descr="https://www.slickcharts.com/img/up.gif">
          <a:extLst>
            <a:ext uri="{FF2B5EF4-FFF2-40B4-BE49-F238E27FC236}">
              <a16:creationId xmlns:a16="http://schemas.microsoft.com/office/drawing/2014/main" id="{4D3FCDA6-5933-45FD-B99B-EB721C893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425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88900</xdr:colOff>
      <xdr:row>198</xdr:row>
      <xdr:rowOff>50800</xdr:rowOff>
    </xdr:to>
    <xdr:pic>
      <xdr:nvPicPr>
        <xdr:cNvPr id="219" name="圖片 218" descr="https://www.slickcharts.com/img/down.gif">
          <a:extLst>
            <a:ext uri="{FF2B5EF4-FFF2-40B4-BE49-F238E27FC236}">
              <a16:creationId xmlns:a16="http://schemas.microsoft.com/office/drawing/2014/main" id="{6B4EB047-35DC-4367-AF10-A70FD5D5A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446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88900</xdr:colOff>
      <xdr:row>199</xdr:row>
      <xdr:rowOff>50800</xdr:rowOff>
    </xdr:to>
    <xdr:pic>
      <xdr:nvPicPr>
        <xdr:cNvPr id="220" name="圖片 219" descr="https://www.slickcharts.com/img/up.gif">
          <a:extLst>
            <a:ext uri="{FF2B5EF4-FFF2-40B4-BE49-F238E27FC236}">
              <a16:creationId xmlns:a16="http://schemas.microsoft.com/office/drawing/2014/main" id="{ADDD30C0-16D5-401B-8B8B-008369B1E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466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88900</xdr:colOff>
      <xdr:row>200</xdr:row>
      <xdr:rowOff>50800</xdr:rowOff>
    </xdr:to>
    <xdr:pic>
      <xdr:nvPicPr>
        <xdr:cNvPr id="221" name="圖片 220" descr="https://www.slickcharts.com/img/down.gif">
          <a:extLst>
            <a:ext uri="{FF2B5EF4-FFF2-40B4-BE49-F238E27FC236}">
              <a16:creationId xmlns:a16="http://schemas.microsoft.com/office/drawing/2014/main" id="{92CD1E1A-9973-4444-9BA0-3253976B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486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88900</xdr:colOff>
      <xdr:row>201</xdr:row>
      <xdr:rowOff>50800</xdr:rowOff>
    </xdr:to>
    <xdr:pic>
      <xdr:nvPicPr>
        <xdr:cNvPr id="222" name="圖片 221" descr="https://www.slickcharts.com/img/up.gif">
          <a:extLst>
            <a:ext uri="{FF2B5EF4-FFF2-40B4-BE49-F238E27FC236}">
              <a16:creationId xmlns:a16="http://schemas.microsoft.com/office/drawing/2014/main" id="{73B27A67-10DC-442D-949E-026FA0CB5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507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88900</xdr:colOff>
      <xdr:row>9</xdr:row>
      <xdr:rowOff>50800</xdr:rowOff>
    </xdr:to>
    <xdr:pic>
      <xdr:nvPicPr>
        <xdr:cNvPr id="223" name="圖片 222" descr="https://www.slickcharts.com/img/up.gif">
          <a:extLst>
            <a:ext uri="{FF2B5EF4-FFF2-40B4-BE49-F238E27FC236}">
              <a16:creationId xmlns:a16="http://schemas.microsoft.com/office/drawing/2014/main" id="{656B5FDE-F394-49C0-8B0D-1FD590984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527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88900</xdr:colOff>
      <xdr:row>202</xdr:row>
      <xdr:rowOff>50800</xdr:rowOff>
    </xdr:to>
    <xdr:pic>
      <xdr:nvPicPr>
        <xdr:cNvPr id="224" name="圖片 223" descr="https://www.slickcharts.com/img/up.gif">
          <a:extLst>
            <a:ext uri="{FF2B5EF4-FFF2-40B4-BE49-F238E27FC236}">
              <a16:creationId xmlns:a16="http://schemas.microsoft.com/office/drawing/2014/main" id="{E4878866-7619-4231-BD46-28AEB225E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547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88900</xdr:colOff>
      <xdr:row>203</xdr:row>
      <xdr:rowOff>50800</xdr:rowOff>
    </xdr:to>
    <xdr:pic>
      <xdr:nvPicPr>
        <xdr:cNvPr id="225" name="圖片 224" descr="https://www.slickcharts.com/img/up.gif">
          <a:extLst>
            <a:ext uri="{FF2B5EF4-FFF2-40B4-BE49-F238E27FC236}">
              <a16:creationId xmlns:a16="http://schemas.microsoft.com/office/drawing/2014/main" id="{D59FC381-8DFB-465E-B0D6-3C0657A53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568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88900</xdr:colOff>
      <xdr:row>76</xdr:row>
      <xdr:rowOff>50800</xdr:rowOff>
    </xdr:to>
    <xdr:pic>
      <xdr:nvPicPr>
        <xdr:cNvPr id="226" name="圖片 225" descr="https://www.slickcharts.com/img/up.gif">
          <a:extLst>
            <a:ext uri="{FF2B5EF4-FFF2-40B4-BE49-F238E27FC236}">
              <a16:creationId xmlns:a16="http://schemas.microsoft.com/office/drawing/2014/main" id="{1B9526E0-ED45-42DE-92D2-9E72B8D62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588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88900</xdr:colOff>
      <xdr:row>204</xdr:row>
      <xdr:rowOff>50800</xdr:rowOff>
    </xdr:to>
    <xdr:pic>
      <xdr:nvPicPr>
        <xdr:cNvPr id="227" name="圖片 226" descr="https://www.slickcharts.com/img/up.gif">
          <a:extLst>
            <a:ext uri="{FF2B5EF4-FFF2-40B4-BE49-F238E27FC236}">
              <a16:creationId xmlns:a16="http://schemas.microsoft.com/office/drawing/2014/main" id="{6689A52F-395A-4137-82F6-25F5AD9E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608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88900</xdr:colOff>
      <xdr:row>205</xdr:row>
      <xdr:rowOff>50800</xdr:rowOff>
    </xdr:to>
    <xdr:pic>
      <xdr:nvPicPr>
        <xdr:cNvPr id="228" name="圖片 227" descr="https://www.slickcharts.com/img/down.gif">
          <a:extLst>
            <a:ext uri="{FF2B5EF4-FFF2-40B4-BE49-F238E27FC236}">
              <a16:creationId xmlns:a16="http://schemas.microsoft.com/office/drawing/2014/main" id="{0B49884F-1C8C-472A-B184-166E40B64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629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88900</xdr:colOff>
      <xdr:row>206</xdr:row>
      <xdr:rowOff>50800</xdr:rowOff>
    </xdr:to>
    <xdr:pic>
      <xdr:nvPicPr>
        <xdr:cNvPr id="229" name="圖片 228" descr="https://www.slickcharts.com/img/up.gif">
          <a:extLst>
            <a:ext uri="{FF2B5EF4-FFF2-40B4-BE49-F238E27FC236}">
              <a16:creationId xmlns:a16="http://schemas.microsoft.com/office/drawing/2014/main" id="{4663A201-0EE1-4D0F-BAD5-D14463F33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649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88900</xdr:colOff>
      <xdr:row>207</xdr:row>
      <xdr:rowOff>50800</xdr:rowOff>
    </xdr:to>
    <xdr:pic>
      <xdr:nvPicPr>
        <xdr:cNvPr id="230" name="圖片 229" descr="https://www.slickcharts.com/img/up.gif">
          <a:extLst>
            <a:ext uri="{FF2B5EF4-FFF2-40B4-BE49-F238E27FC236}">
              <a16:creationId xmlns:a16="http://schemas.microsoft.com/office/drawing/2014/main" id="{B701C649-A0DA-468D-AA59-9F444D219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669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88900</xdr:colOff>
      <xdr:row>208</xdr:row>
      <xdr:rowOff>50800</xdr:rowOff>
    </xdr:to>
    <xdr:pic>
      <xdr:nvPicPr>
        <xdr:cNvPr id="231" name="圖片 230" descr="https://www.slickcharts.com/img/down.gif">
          <a:extLst>
            <a:ext uri="{FF2B5EF4-FFF2-40B4-BE49-F238E27FC236}">
              <a16:creationId xmlns:a16="http://schemas.microsoft.com/office/drawing/2014/main" id="{476CD998-B3E9-405F-AC9C-F0363307F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690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88900</xdr:colOff>
      <xdr:row>209</xdr:row>
      <xdr:rowOff>50800</xdr:rowOff>
    </xdr:to>
    <xdr:pic>
      <xdr:nvPicPr>
        <xdr:cNvPr id="232" name="圖片 231" descr="https://www.slickcharts.com/img/up.gif">
          <a:extLst>
            <a:ext uri="{FF2B5EF4-FFF2-40B4-BE49-F238E27FC236}">
              <a16:creationId xmlns:a16="http://schemas.microsoft.com/office/drawing/2014/main" id="{5372367E-F4BB-44D1-A2A4-444293DFA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710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88900</xdr:colOff>
      <xdr:row>210</xdr:row>
      <xdr:rowOff>50800</xdr:rowOff>
    </xdr:to>
    <xdr:pic>
      <xdr:nvPicPr>
        <xdr:cNvPr id="233" name="圖片 232" descr="https://www.slickcharts.com/img/up.gif">
          <a:extLst>
            <a:ext uri="{FF2B5EF4-FFF2-40B4-BE49-F238E27FC236}">
              <a16:creationId xmlns:a16="http://schemas.microsoft.com/office/drawing/2014/main" id="{B8FE965E-8A8C-4581-B709-15BD22F10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730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7</xdr:col>
      <xdr:colOff>88900</xdr:colOff>
      <xdr:row>77</xdr:row>
      <xdr:rowOff>50800</xdr:rowOff>
    </xdr:to>
    <xdr:pic>
      <xdr:nvPicPr>
        <xdr:cNvPr id="234" name="圖片 233" descr="https://www.slickcharts.com/img/up.gif">
          <a:extLst>
            <a:ext uri="{FF2B5EF4-FFF2-40B4-BE49-F238E27FC236}">
              <a16:creationId xmlns:a16="http://schemas.microsoft.com/office/drawing/2014/main" id="{BA441E5F-A10E-48A5-A6A3-F41E9F20F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751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88900</xdr:colOff>
      <xdr:row>211</xdr:row>
      <xdr:rowOff>50800</xdr:rowOff>
    </xdr:to>
    <xdr:pic>
      <xdr:nvPicPr>
        <xdr:cNvPr id="235" name="圖片 234" descr="https://www.slickcharts.com/img/up.gif">
          <a:extLst>
            <a:ext uri="{FF2B5EF4-FFF2-40B4-BE49-F238E27FC236}">
              <a16:creationId xmlns:a16="http://schemas.microsoft.com/office/drawing/2014/main" id="{B890B877-08EE-4CF5-9BDE-DEED2586E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771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88900</xdr:colOff>
      <xdr:row>212</xdr:row>
      <xdr:rowOff>50800</xdr:rowOff>
    </xdr:to>
    <xdr:pic>
      <xdr:nvPicPr>
        <xdr:cNvPr id="236" name="圖片 235" descr="https://www.slickcharts.com/img/up.gif">
          <a:extLst>
            <a:ext uri="{FF2B5EF4-FFF2-40B4-BE49-F238E27FC236}">
              <a16:creationId xmlns:a16="http://schemas.microsoft.com/office/drawing/2014/main" id="{EBC812C9-C40E-4BE1-BDF4-88C9206BC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791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88900</xdr:colOff>
      <xdr:row>78</xdr:row>
      <xdr:rowOff>50800</xdr:rowOff>
    </xdr:to>
    <xdr:pic>
      <xdr:nvPicPr>
        <xdr:cNvPr id="237" name="圖片 236" descr="https://www.slickcharts.com/img/up.gif">
          <a:extLst>
            <a:ext uri="{FF2B5EF4-FFF2-40B4-BE49-F238E27FC236}">
              <a16:creationId xmlns:a16="http://schemas.microsoft.com/office/drawing/2014/main" id="{201F5A97-1DD0-4CE1-984E-109384AB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812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88900</xdr:colOff>
      <xdr:row>213</xdr:row>
      <xdr:rowOff>50800</xdr:rowOff>
    </xdr:to>
    <xdr:pic>
      <xdr:nvPicPr>
        <xdr:cNvPr id="238" name="圖片 237" descr="https://www.slickcharts.com/img/up.gif">
          <a:extLst>
            <a:ext uri="{FF2B5EF4-FFF2-40B4-BE49-F238E27FC236}">
              <a16:creationId xmlns:a16="http://schemas.microsoft.com/office/drawing/2014/main" id="{835AD4A8-FA80-4FD4-9104-FC88C18C2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832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88900</xdr:colOff>
      <xdr:row>15</xdr:row>
      <xdr:rowOff>50800</xdr:rowOff>
    </xdr:to>
    <xdr:pic>
      <xdr:nvPicPr>
        <xdr:cNvPr id="239" name="圖片 238" descr="https://www.slickcharts.com/img/up.gif">
          <a:extLst>
            <a:ext uri="{FF2B5EF4-FFF2-40B4-BE49-F238E27FC236}">
              <a16:creationId xmlns:a16="http://schemas.microsoft.com/office/drawing/2014/main" id="{FA9F090C-61D1-4DC7-AC29-B257ED98D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852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88900</xdr:colOff>
      <xdr:row>214</xdr:row>
      <xdr:rowOff>50800</xdr:rowOff>
    </xdr:to>
    <xdr:pic>
      <xdr:nvPicPr>
        <xdr:cNvPr id="240" name="圖片 239" descr="https://www.slickcharts.com/img/up.gif">
          <a:extLst>
            <a:ext uri="{FF2B5EF4-FFF2-40B4-BE49-F238E27FC236}">
              <a16:creationId xmlns:a16="http://schemas.microsoft.com/office/drawing/2014/main" id="{68D7510F-B961-4244-ABA0-EAEEAAF3A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872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88900</xdr:colOff>
      <xdr:row>215</xdr:row>
      <xdr:rowOff>50800</xdr:rowOff>
    </xdr:to>
    <xdr:pic>
      <xdr:nvPicPr>
        <xdr:cNvPr id="241" name="圖片 240" descr="https://www.slickcharts.com/img/up.gif">
          <a:extLst>
            <a:ext uri="{FF2B5EF4-FFF2-40B4-BE49-F238E27FC236}">
              <a16:creationId xmlns:a16="http://schemas.microsoft.com/office/drawing/2014/main" id="{3D79FE86-16BF-4B01-857D-93970F31A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893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88900</xdr:colOff>
      <xdr:row>216</xdr:row>
      <xdr:rowOff>50800</xdr:rowOff>
    </xdr:to>
    <xdr:pic>
      <xdr:nvPicPr>
        <xdr:cNvPr id="242" name="圖片 241" descr="https://www.slickcharts.com/img/up.gif">
          <a:extLst>
            <a:ext uri="{FF2B5EF4-FFF2-40B4-BE49-F238E27FC236}">
              <a16:creationId xmlns:a16="http://schemas.microsoft.com/office/drawing/2014/main" id="{E5941B61-BC00-42F2-B452-EF01301E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913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88900</xdr:colOff>
      <xdr:row>217</xdr:row>
      <xdr:rowOff>50800</xdr:rowOff>
    </xdr:to>
    <xdr:pic>
      <xdr:nvPicPr>
        <xdr:cNvPr id="243" name="圖片 242" descr="https://www.slickcharts.com/img/down.gif">
          <a:extLst>
            <a:ext uri="{FF2B5EF4-FFF2-40B4-BE49-F238E27FC236}">
              <a16:creationId xmlns:a16="http://schemas.microsoft.com/office/drawing/2014/main" id="{B1BF98AD-C59F-4285-8104-C57E1E3C3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933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88900</xdr:colOff>
      <xdr:row>218</xdr:row>
      <xdr:rowOff>50800</xdr:rowOff>
    </xdr:to>
    <xdr:pic>
      <xdr:nvPicPr>
        <xdr:cNvPr id="244" name="圖片 243" descr="https://www.slickcharts.com/img/up.gif">
          <a:extLst>
            <a:ext uri="{FF2B5EF4-FFF2-40B4-BE49-F238E27FC236}">
              <a16:creationId xmlns:a16="http://schemas.microsoft.com/office/drawing/2014/main" id="{71D33724-3ECD-4E2D-8B58-995169A5A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954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88900</xdr:colOff>
      <xdr:row>219</xdr:row>
      <xdr:rowOff>50800</xdr:rowOff>
    </xdr:to>
    <xdr:pic>
      <xdr:nvPicPr>
        <xdr:cNvPr id="245" name="圖片 244" descr="https://www.slickcharts.com/img/up.gif">
          <a:extLst>
            <a:ext uri="{FF2B5EF4-FFF2-40B4-BE49-F238E27FC236}">
              <a16:creationId xmlns:a16="http://schemas.microsoft.com/office/drawing/2014/main" id="{509D7EAF-F36D-4253-AA6E-72E077782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974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88900</xdr:colOff>
      <xdr:row>220</xdr:row>
      <xdr:rowOff>50800</xdr:rowOff>
    </xdr:to>
    <xdr:pic>
      <xdr:nvPicPr>
        <xdr:cNvPr id="246" name="圖片 245" descr="https://www.slickcharts.com/img/up.gif">
          <a:extLst>
            <a:ext uri="{FF2B5EF4-FFF2-40B4-BE49-F238E27FC236}">
              <a16:creationId xmlns:a16="http://schemas.microsoft.com/office/drawing/2014/main" id="{93F673DA-EFEA-4D66-9700-CE1734820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4994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88900</xdr:colOff>
      <xdr:row>221</xdr:row>
      <xdr:rowOff>50800</xdr:rowOff>
    </xdr:to>
    <xdr:pic>
      <xdr:nvPicPr>
        <xdr:cNvPr id="247" name="圖片 246" descr="https://www.slickcharts.com/img/up.gif">
          <a:extLst>
            <a:ext uri="{FF2B5EF4-FFF2-40B4-BE49-F238E27FC236}">
              <a16:creationId xmlns:a16="http://schemas.microsoft.com/office/drawing/2014/main" id="{1F366FE0-3126-4CB9-968D-0DCD1DCBC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015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88900</xdr:colOff>
      <xdr:row>222</xdr:row>
      <xdr:rowOff>50800</xdr:rowOff>
    </xdr:to>
    <xdr:pic>
      <xdr:nvPicPr>
        <xdr:cNvPr id="248" name="圖片 247" descr="https://www.slickcharts.com/img/up.gif">
          <a:extLst>
            <a:ext uri="{FF2B5EF4-FFF2-40B4-BE49-F238E27FC236}">
              <a16:creationId xmlns:a16="http://schemas.microsoft.com/office/drawing/2014/main" id="{9200929C-13A0-447B-A4DC-FC0EF883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035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88900</xdr:colOff>
      <xdr:row>223</xdr:row>
      <xdr:rowOff>50800</xdr:rowOff>
    </xdr:to>
    <xdr:pic>
      <xdr:nvPicPr>
        <xdr:cNvPr id="249" name="圖片 248" descr="https://www.slickcharts.com/img/down.gif">
          <a:extLst>
            <a:ext uri="{FF2B5EF4-FFF2-40B4-BE49-F238E27FC236}">
              <a16:creationId xmlns:a16="http://schemas.microsoft.com/office/drawing/2014/main" id="{5C21DB3C-642D-4301-9FF0-6136DE3B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055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88900</xdr:colOff>
      <xdr:row>224</xdr:row>
      <xdr:rowOff>50800</xdr:rowOff>
    </xdr:to>
    <xdr:pic>
      <xdr:nvPicPr>
        <xdr:cNvPr id="250" name="圖片 249" descr="https://www.slickcharts.com/img/up.gif">
          <a:extLst>
            <a:ext uri="{FF2B5EF4-FFF2-40B4-BE49-F238E27FC236}">
              <a16:creationId xmlns:a16="http://schemas.microsoft.com/office/drawing/2014/main" id="{D5CC2D90-C042-4453-B620-5498F9D2E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076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88900</xdr:colOff>
      <xdr:row>225</xdr:row>
      <xdr:rowOff>50800</xdr:rowOff>
    </xdr:to>
    <xdr:pic>
      <xdr:nvPicPr>
        <xdr:cNvPr id="251" name="圖片 250" descr="https://www.slickcharts.com/img/up.gif">
          <a:extLst>
            <a:ext uri="{FF2B5EF4-FFF2-40B4-BE49-F238E27FC236}">
              <a16:creationId xmlns:a16="http://schemas.microsoft.com/office/drawing/2014/main" id="{D18021BE-CB83-4CC3-B92F-2B3AEBA7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096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88900</xdr:colOff>
      <xdr:row>226</xdr:row>
      <xdr:rowOff>50800</xdr:rowOff>
    </xdr:to>
    <xdr:pic>
      <xdr:nvPicPr>
        <xdr:cNvPr id="252" name="圖片 251" descr="https://www.slickcharts.com/img/up.gif">
          <a:extLst>
            <a:ext uri="{FF2B5EF4-FFF2-40B4-BE49-F238E27FC236}">
              <a16:creationId xmlns:a16="http://schemas.microsoft.com/office/drawing/2014/main" id="{E3679FDE-5161-4159-AFE2-ED3EA4690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116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88900</xdr:colOff>
      <xdr:row>227</xdr:row>
      <xdr:rowOff>50800</xdr:rowOff>
    </xdr:to>
    <xdr:pic>
      <xdr:nvPicPr>
        <xdr:cNvPr id="253" name="圖片 252" descr="https://www.slickcharts.com/img/up.gif">
          <a:extLst>
            <a:ext uri="{FF2B5EF4-FFF2-40B4-BE49-F238E27FC236}">
              <a16:creationId xmlns:a16="http://schemas.microsoft.com/office/drawing/2014/main" id="{DB07BAED-0B01-43EE-9B53-109D06ACD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137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88900</xdr:colOff>
      <xdr:row>228</xdr:row>
      <xdr:rowOff>50800</xdr:rowOff>
    </xdr:to>
    <xdr:pic>
      <xdr:nvPicPr>
        <xdr:cNvPr id="254" name="圖片 253" descr="https://www.slickcharts.com/img/up.gif">
          <a:extLst>
            <a:ext uri="{FF2B5EF4-FFF2-40B4-BE49-F238E27FC236}">
              <a16:creationId xmlns:a16="http://schemas.microsoft.com/office/drawing/2014/main" id="{AA641692-7B6A-4B7F-B019-95F72F205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157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88900</xdr:colOff>
      <xdr:row>229</xdr:row>
      <xdr:rowOff>50800</xdr:rowOff>
    </xdr:to>
    <xdr:pic>
      <xdr:nvPicPr>
        <xdr:cNvPr id="255" name="圖片 254" descr="https://www.slickcharts.com/img/up.gif">
          <a:extLst>
            <a:ext uri="{FF2B5EF4-FFF2-40B4-BE49-F238E27FC236}">
              <a16:creationId xmlns:a16="http://schemas.microsoft.com/office/drawing/2014/main" id="{307947E8-90FF-44B6-B813-C94477E1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177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88900</xdr:colOff>
      <xdr:row>230</xdr:row>
      <xdr:rowOff>50800</xdr:rowOff>
    </xdr:to>
    <xdr:pic>
      <xdr:nvPicPr>
        <xdr:cNvPr id="256" name="圖片 255" descr="https://www.slickcharts.com/img/up.gif">
          <a:extLst>
            <a:ext uri="{FF2B5EF4-FFF2-40B4-BE49-F238E27FC236}">
              <a16:creationId xmlns:a16="http://schemas.microsoft.com/office/drawing/2014/main" id="{0B842875-F459-4992-8A0E-260045229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198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88900</xdr:colOff>
      <xdr:row>231</xdr:row>
      <xdr:rowOff>50800</xdr:rowOff>
    </xdr:to>
    <xdr:pic>
      <xdr:nvPicPr>
        <xdr:cNvPr id="257" name="圖片 256" descr="https://www.slickcharts.com/img/up.gif">
          <a:extLst>
            <a:ext uri="{FF2B5EF4-FFF2-40B4-BE49-F238E27FC236}">
              <a16:creationId xmlns:a16="http://schemas.microsoft.com/office/drawing/2014/main" id="{C8E56F93-454E-4C5D-AFCA-F42B2AC5F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218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88900</xdr:colOff>
      <xdr:row>232</xdr:row>
      <xdr:rowOff>50800</xdr:rowOff>
    </xdr:to>
    <xdr:pic>
      <xdr:nvPicPr>
        <xdr:cNvPr id="258" name="圖片 257" descr="https://www.slickcharts.com/img/up.gif">
          <a:extLst>
            <a:ext uri="{FF2B5EF4-FFF2-40B4-BE49-F238E27FC236}">
              <a16:creationId xmlns:a16="http://schemas.microsoft.com/office/drawing/2014/main" id="{CEC46932-8A39-4C30-9F80-15E1AA6A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238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88900</xdr:colOff>
      <xdr:row>233</xdr:row>
      <xdr:rowOff>50800</xdr:rowOff>
    </xdr:to>
    <xdr:pic>
      <xdr:nvPicPr>
        <xdr:cNvPr id="259" name="圖片 258" descr="https://www.slickcharts.com/img/up.gif">
          <a:extLst>
            <a:ext uri="{FF2B5EF4-FFF2-40B4-BE49-F238E27FC236}">
              <a16:creationId xmlns:a16="http://schemas.microsoft.com/office/drawing/2014/main" id="{D61F53EB-7940-4E92-A385-1AF5EFB4B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259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88900</xdr:colOff>
      <xdr:row>234</xdr:row>
      <xdr:rowOff>50800</xdr:rowOff>
    </xdr:to>
    <xdr:pic>
      <xdr:nvPicPr>
        <xdr:cNvPr id="260" name="圖片 259" descr="https://www.slickcharts.com/img/up.gif">
          <a:extLst>
            <a:ext uri="{FF2B5EF4-FFF2-40B4-BE49-F238E27FC236}">
              <a16:creationId xmlns:a16="http://schemas.microsoft.com/office/drawing/2014/main" id="{1F3E8C7E-21C0-463E-AD06-16A106FBA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279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88900</xdr:colOff>
      <xdr:row>235</xdr:row>
      <xdr:rowOff>50800</xdr:rowOff>
    </xdr:to>
    <xdr:pic>
      <xdr:nvPicPr>
        <xdr:cNvPr id="261" name="圖片 260" descr="https://www.slickcharts.com/img/up.gif">
          <a:extLst>
            <a:ext uri="{FF2B5EF4-FFF2-40B4-BE49-F238E27FC236}">
              <a16:creationId xmlns:a16="http://schemas.microsoft.com/office/drawing/2014/main" id="{3E19C8DF-4D5D-444C-8C8B-885A23B9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299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88900</xdr:colOff>
      <xdr:row>236</xdr:row>
      <xdr:rowOff>50800</xdr:rowOff>
    </xdr:to>
    <xdr:pic>
      <xdr:nvPicPr>
        <xdr:cNvPr id="262" name="圖片 261" descr="https://www.slickcharts.com/img/up.gif">
          <a:extLst>
            <a:ext uri="{FF2B5EF4-FFF2-40B4-BE49-F238E27FC236}">
              <a16:creationId xmlns:a16="http://schemas.microsoft.com/office/drawing/2014/main" id="{7F3DC433-4EE0-4419-A200-280E35A9A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320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88900</xdr:colOff>
      <xdr:row>237</xdr:row>
      <xdr:rowOff>50800</xdr:rowOff>
    </xdr:to>
    <xdr:pic>
      <xdr:nvPicPr>
        <xdr:cNvPr id="263" name="圖片 262" descr="https://www.slickcharts.com/img/up.gif">
          <a:extLst>
            <a:ext uri="{FF2B5EF4-FFF2-40B4-BE49-F238E27FC236}">
              <a16:creationId xmlns:a16="http://schemas.microsoft.com/office/drawing/2014/main" id="{48B84C5E-BBE9-41D9-97EE-3B8CB1E62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340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88900</xdr:colOff>
      <xdr:row>238</xdr:row>
      <xdr:rowOff>50800</xdr:rowOff>
    </xdr:to>
    <xdr:pic>
      <xdr:nvPicPr>
        <xdr:cNvPr id="264" name="圖片 263" descr="https://www.slickcharts.com/img/up.gif">
          <a:extLst>
            <a:ext uri="{FF2B5EF4-FFF2-40B4-BE49-F238E27FC236}">
              <a16:creationId xmlns:a16="http://schemas.microsoft.com/office/drawing/2014/main" id="{5F7619B4-6F6E-4BA1-9E0E-1AACA3D8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360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88900</xdr:colOff>
      <xdr:row>70</xdr:row>
      <xdr:rowOff>50800</xdr:rowOff>
    </xdr:to>
    <xdr:pic>
      <xdr:nvPicPr>
        <xdr:cNvPr id="265" name="圖片 264" descr="https://www.slickcharts.com/img/down.gif">
          <a:extLst>
            <a:ext uri="{FF2B5EF4-FFF2-40B4-BE49-F238E27FC236}">
              <a16:creationId xmlns:a16="http://schemas.microsoft.com/office/drawing/2014/main" id="{8054C894-2E98-4F73-AD57-DE8CA3B6A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380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88900</xdr:colOff>
      <xdr:row>239</xdr:row>
      <xdr:rowOff>50800</xdr:rowOff>
    </xdr:to>
    <xdr:pic>
      <xdr:nvPicPr>
        <xdr:cNvPr id="266" name="圖片 265" descr="https://www.slickcharts.com/img/up.gif">
          <a:extLst>
            <a:ext uri="{FF2B5EF4-FFF2-40B4-BE49-F238E27FC236}">
              <a16:creationId xmlns:a16="http://schemas.microsoft.com/office/drawing/2014/main" id="{ABF3C61F-4BDD-4D00-A548-412EEFC14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401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88900</xdr:colOff>
      <xdr:row>240</xdr:row>
      <xdr:rowOff>50800</xdr:rowOff>
    </xdr:to>
    <xdr:pic>
      <xdr:nvPicPr>
        <xdr:cNvPr id="267" name="圖片 266" descr="https://www.slickcharts.com/img/up.gif">
          <a:extLst>
            <a:ext uri="{FF2B5EF4-FFF2-40B4-BE49-F238E27FC236}">
              <a16:creationId xmlns:a16="http://schemas.microsoft.com/office/drawing/2014/main" id="{EC42F645-8F58-4DF1-A764-E3286E8F9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421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88900</xdr:colOff>
      <xdr:row>76</xdr:row>
      <xdr:rowOff>50800</xdr:rowOff>
    </xdr:to>
    <xdr:pic>
      <xdr:nvPicPr>
        <xdr:cNvPr id="268" name="圖片 267" descr="https://www.slickcharts.com/img/up.gif">
          <a:extLst>
            <a:ext uri="{FF2B5EF4-FFF2-40B4-BE49-F238E27FC236}">
              <a16:creationId xmlns:a16="http://schemas.microsoft.com/office/drawing/2014/main" id="{BFD55FEF-BF5C-43B9-AB4A-D2A8B3C18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441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88900</xdr:colOff>
      <xdr:row>15</xdr:row>
      <xdr:rowOff>50800</xdr:rowOff>
    </xdr:to>
    <xdr:pic>
      <xdr:nvPicPr>
        <xdr:cNvPr id="269" name="圖片 268" descr="https://www.slickcharts.com/img/up.gif">
          <a:extLst>
            <a:ext uri="{FF2B5EF4-FFF2-40B4-BE49-F238E27FC236}">
              <a16:creationId xmlns:a16="http://schemas.microsoft.com/office/drawing/2014/main" id="{D9F9D520-C580-4E4A-A9AC-7DA0A54D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462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88900</xdr:colOff>
      <xdr:row>241</xdr:row>
      <xdr:rowOff>50800</xdr:rowOff>
    </xdr:to>
    <xdr:pic>
      <xdr:nvPicPr>
        <xdr:cNvPr id="270" name="圖片 269" descr="https://www.slickcharts.com/img/up.gif">
          <a:extLst>
            <a:ext uri="{FF2B5EF4-FFF2-40B4-BE49-F238E27FC236}">
              <a16:creationId xmlns:a16="http://schemas.microsoft.com/office/drawing/2014/main" id="{4C2A2DDA-B5F6-4D98-9B63-A37B286CB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482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88900</xdr:colOff>
      <xdr:row>242</xdr:row>
      <xdr:rowOff>50800</xdr:rowOff>
    </xdr:to>
    <xdr:pic>
      <xdr:nvPicPr>
        <xdr:cNvPr id="271" name="圖片 270" descr="https://www.slickcharts.com/img/up.gif">
          <a:extLst>
            <a:ext uri="{FF2B5EF4-FFF2-40B4-BE49-F238E27FC236}">
              <a16:creationId xmlns:a16="http://schemas.microsoft.com/office/drawing/2014/main" id="{25105837-BFD1-44D2-B7AA-61194B127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502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88900</xdr:colOff>
      <xdr:row>243</xdr:row>
      <xdr:rowOff>50800</xdr:rowOff>
    </xdr:to>
    <xdr:pic>
      <xdr:nvPicPr>
        <xdr:cNvPr id="272" name="圖片 271" descr="https://www.slickcharts.com/img/up.gif">
          <a:extLst>
            <a:ext uri="{FF2B5EF4-FFF2-40B4-BE49-F238E27FC236}">
              <a16:creationId xmlns:a16="http://schemas.microsoft.com/office/drawing/2014/main" id="{E339698B-46AE-4211-A495-3C9CE130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523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88900</xdr:colOff>
      <xdr:row>81</xdr:row>
      <xdr:rowOff>50800</xdr:rowOff>
    </xdr:to>
    <xdr:pic>
      <xdr:nvPicPr>
        <xdr:cNvPr id="273" name="圖片 272" descr="https://www.slickcharts.com/img/up.gif">
          <a:extLst>
            <a:ext uri="{FF2B5EF4-FFF2-40B4-BE49-F238E27FC236}">
              <a16:creationId xmlns:a16="http://schemas.microsoft.com/office/drawing/2014/main" id="{201D2C4C-17E7-432D-8E25-C0BEF727B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543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88900</xdr:colOff>
      <xdr:row>244</xdr:row>
      <xdr:rowOff>50800</xdr:rowOff>
    </xdr:to>
    <xdr:pic>
      <xdr:nvPicPr>
        <xdr:cNvPr id="274" name="圖片 273" descr="https://www.slickcharts.com/img/up.gif">
          <a:extLst>
            <a:ext uri="{FF2B5EF4-FFF2-40B4-BE49-F238E27FC236}">
              <a16:creationId xmlns:a16="http://schemas.microsoft.com/office/drawing/2014/main" id="{6F253383-588C-4CFE-9212-5A4AFE864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563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88900</xdr:colOff>
      <xdr:row>245</xdr:row>
      <xdr:rowOff>50800</xdr:rowOff>
    </xdr:to>
    <xdr:pic>
      <xdr:nvPicPr>
        <xdr:cNvPr id="275" name="圖片 274" descr="https://www.slickcharts.com/img/up.gif">
          <a:extLst>
            <a:ext uri="{FF2B5EF4-FFF2-40B4-BE49-F238E27FC236}">
              <a16:creationId xmlns:a16="http://schemas.microsoft.com/office/drawing/2014/main" id="{318A144B-DBE0-44A0-8D13-D6EDD3B7E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584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88900</xdr:colOff>
      <xdr:row>246</xdr:row>
      <xdr:rowOff>50800</xdr:rowOff>
    </xdr:to>
    <xdr:pic>
      <xdr:nvPicPr>
        <xdr:cNvPr id="276" name="圖片 275" descr="https://www.slickcharts.com/img/up.gif">
          <a:extLst>
            <a:ext uri="{FF2B5EF4-FFF2-40B4-BE49-F238E27FC236}">
              <a16:creationId xmlns:a16="http://schemas.microsoft.com/office/drawing/2014/main" id="{F9E4531C-FF08-4C8E-B0A7-31B10A3AE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604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88900</xdr:colOff>
      <xdr:row>247</xdr:row>
      <xdr:rowOff>50800</xdr:rowOff>
    </xdr:to>
    <xdr:pic>
      <xdr:nvPicPr>
        <xdr:cNvPr id="277" name="圖片 276" descr="https://www.slickcharts.com/img/up.gif">
          <a:extLst>
            <a:ext uri="{FF2B5EF4-FFF2-40B4-BE49-F238E27FC236}">
              <a16:creationId xmlns:a16="http://schemas.microsoft.com/office/drawing/2014/main" id="{02714DF5-8A31-4A72-A176-8D6D23D3A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624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88900</xdr:colOff>
      <xdr:row>248</xdr:row>
      <xdr:rowOff>50800</xdr:rowOff>
    </xdr:to>
    <xdr:pic>
      <xdr:nvPicPr>
        <xdr:cNvPr id="278" name="圖片 277" descr="https://www.slickcharts.com/img/up.gif">
          <a:extLst>
            <a:ext uri="{FF2B5EF4-FFF2-40B4-BE49-F238E27FC236}">
              <a16:creationId xmlns:a16="http://schemas.microsoft.com/office/drawing/2014/main" id="{DFA40FE5-BEAE-4B1B-B6A7-CDD04304D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645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88900</xdr:colOff>
      <xdr:row>249</xdr:row>
      <xdr:rowOff>50800</xdr:rowOff>
    </xdr:to>
    <xdr:pic>
      <xdr:nvPicPr>
        <xdr:cNvPr id="279" name="圖片 278" descr="https://www.slickcharts.com/img/up.gif">
          <a:extLst>
            <a:ext uri="{FF2B5EF4-FFF2-40B4-BE49-F238E27FC236}">
              <a16:creationId xmlns:a16="http://schemas.microsoft.com/office/drawing/2014/main" id="{E6C04552-08A9-4DE1-9BA3-1D28ABB9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665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88900</xdr:colOff>
      <xdr:row>250</xdr:row>
      <xdr:rowOff>50800</xdr:rowOff>
    </xdr:to>
    <xdr:pic>
      <xdr:nvPicPr>
        <xdr:cNvPr id="280" name="圖片 279" descr="https://www.slickcharts.com/img/up.gif">
          <a:extLst>
            <a:ext uri="{FF2B5EF4-FFF2-40B4-BE49-F238E27FC236}">
              <a16:creationId xmlns:a16="http://schemas.microsoft.com/office/drawing/2014/main" id="{E8F39A8D-3B52-40C0-94B7-F701AE909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685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88900</xdr:colOff>
      <xdr:row>251</xdr:row>
      <xdr:rowOff>50800</xdr:rowOff>
    </xdr:to>
    <xdr:pic>
      <xdr:nvPicPr>
        <xdr:cNvPr id="281" name="圖片 280" descr="https://www.slickcharts.com/img/up.gif">
          <a:extLst>
            <a:ext uri="{FF2B5EF4-FFF2-40B4-BE49-F238E27FC236}">
              <a16:creationId xmlns:a16="http://schemas.microsoft.com/office/drawing/2014/main" id="{B929E535-9197-40C9-8DF7-5E7CD1933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706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88900</xdr:colOff>
      <xdr:row>252</xdr:row>
      <xdr:rowOff>50800</xdr:rowOff>
    </xdr:to>
    <xdr:pic>
      <xdr:nvPicPr>
        <xdr:cNvPr id="282" name="圖片 281" descr="https://www.slickcharts.com/img/up.gif">
          <a:extLst>
            <a:ext uri="{FF2B5EF4-FFF2-40B4-BE49-F238E27FC236}">
              <a16:creationId xmlns:a16="http://schemas.microsoft.com/office/drawing/2014/main" id="{8F11C8F7-9DF5-4B71-8FCD-3EA65728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726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88900</xdr:colOff>
      <xdr:row>253</xdr:row>
      <xdr:rowOff>50800</xdr:rowOff>
    </xdr:to>
    <xdr:pic>
      <xdr:nvPicPr>
        <xdr:cNvPr id="283" name="圖片 282" descr="https://www.slickcharts.com/img/up.gif">
          <a:extLst>
            <a:ext uri="{FF2B5EF4-FFF2-40B4-BE49-F238E27FC236}">
              <a16:creationId xmlns:a16="http://schemas.microsoft.com/office/drawing/2014/main" id="{583B19DD-B609-48ED-9284-97C6EB0E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746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88900</xdr:colOff>
      <xdr:row>254</xdr:row>
      <xdr:rowOff>50800</xdr:rowOff>
    </xdr:to>
    <xdr:pic>
      <xdr:nvPicPr>
        <xdr:cNvPr id="284" name="圖片 283" descr="https://www.slickcharts.com/img/up.gif">
          <a:extLst>
            <a:ext uri="{FF2B5EF4-FFF2-40B4-BE49-F238E27FC236}">
              <a16:creationId xmlns:a16="http://schemas.microsoft.com/office/drawing/2014/main" id="{B1A4A8E5-1983-4EBA-BD61-5E4B89E4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767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79</xdr:row>
      <xdr:rowOff>0</xdr:rowOff>
    </xdr:from>
    <xdr:to>
      <xdr:col>7</xdr:col>
      <xdr:colOff>88900</xdr:colOff>
      <xdr:row>79</xdr:row>
      <xdr:rowOff>50800</xdr:rowOff>
    </xdr:to>
    <xdr:pic>
      <xdr:nvPicPr>
        <xdr:cNvPr id="285" name="圖片 284" descr="https://www.slickcharts.com/img/up.gif">
          <a:extLst>
            <a:ext uri="{FF2B5EF4-FFF2-40B4-BE49-F238E27FC236}">
              <a16:creationId xmlns:a16="http://schemas.microsoft.com/office/drawing/2014/main" id="{BC4EE832-792C-4A4A-AE9A-3AF691008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787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88900</xdr:colOff>
      <xdr:row>255</xdr:row>
      <xdr:rowOff>50800</xdr:rowOff>
    </xdr:to>
    <xdr:pic>
      <xdr:nvPicPr>
        <xdr:cNvPr id="286" name="圖片 285" descr="https://www.slickcharts.com/img/up.gif">
          <a:extLst>
            <a:ext uri="{FF2B5EF4-FFF2-40B4-BE49-F238E27FC236}">
              <a16:creationId xmlns:a16="http://schemas.microsoft.com/office/drawing/2014/main" id="{93B215DA-C92C-4EA6-B199-521A0E6D3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807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88900</xdr:colOff>
      <xdr:row>15</xdr:row>
      <xdr:rowOff>50800</xdr:rowOff>
    </xdr:to>
    <xdr:pic>
      <xdr:nvPicPr>
        <xdr:cNvPr id="287" name="圖片 286" descr="https://www.slickcharts.com/img/up.gif">
          <a:extLst>
            <a:ext uri="{FF2B5EF4-FFF2-40B4-BE49-F238E27FC236}">
              <a16:creationId xmlns:a16="http://schemas.microsoft.com/office/drawing/2014/main" id="{10F43727-FD73-4AA0-BCEA-780ACFCE4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828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88900</xdr:colOff>
      <xdr:row>256</xdr:row>
      <xdr:rowOff>50800</xdr:rowOff>
    </xdr:to>
    <xdr:pic>
      <xdr:nvPicPr>
        <xdr:cNvPr id="288" name="圖片 287" descr="https://www.slickcharts.com/img/down.gif">
          <a:extLst>
            <a:ext uri="{FF2B5EF4-FFF2-40B4-BE49-F238E27FC236}">
              <a16:creationId xmlns:a16="http://schemas.microsoft.com/office/drawing/2014/main" id="{E56E3D2B-9839-4A37-A339-402A143D7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848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88900</xdr:colOff>
      <xdr:row>257</xdr:row>
      <xdr:rowOff>50800</xdr:rowOff>
    </xdr:to>
    <xdr:pic>
      <xdr:nvPicPr>
        <xdr:cNvPr id="289" name="圖片 288" descr="https://www.slickcharts.com/img/up.gif">
          <a:extLst>
            <a:ext uri="{FF2B5EF4-FFF2-40B4-BE49-F238E27FC236}">
              <a16:creationId xmlns:a16="http://schemas.microsoft.com/office/drawing/2014/main" id="{2817FD56-0D68-47CE-8DA1-B078ECBD8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868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88900</xdr:colOff>
      <xdr:row>258</xdr:row>
      <xdr:rowOff>50800</xdr:rowOff>
    </xdr:to>
    <xdr:pic>
      <xdr:nvPicPr>
        <xdr:cNvPr id="290" name="圖片 289" descr="https://www.slickcharts.com/img/up.gif">
          <a:extLst>
            <a:ext uri="{FF2B5EF4-FFF2-40B4-BE49-F238E27FC236}">
              <a16:creationId xmlns:a16="http://schemas.microsoft.com/office/drawing/2014/main" id="{BB277FD1-1BA1-4C5D-AE6C-4FA994A31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888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88900</xdr:colOff>
      <xdr:row>259</xdr:row>
      <xdr:rowOff>50800</xdr:rowOff>
    </xdr:to>
    <xdr:pic>
      <xdr:nvPicPr>
        <xdr:cNvPr id="291" name="圖片 290" descr="https://www.slickcharts.com/img/up.gif">
          <a:extLst>
            <a:ext uri="{FF2B5EF4-FFF2-40B4-BE49-F238E27FC236}">
              <a16:creationId xmlns:a16="http://schemas.microsoft.com/office/drawing/2014/main" id="{CEA6D108-A465-4BDF-ABBF-3DD702208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909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88900</xdr:colOff>
      <xdr:row>260</xdr:row>
      <xdr:rowOff>50800</xdr:rowOff>
    </xdr:to>
    <xdr:pic>
      <xdr:nvPicPr>
        <xdr:cNvPr id="292" name="圖片 291" descr="https://www.slickcharts.com/img/up.gif">
          <a:extLst>
            <a:ext uri="{FF2B5EF4-FFF2-40B4-BE49-F238E27FC236}">
              <a16:creationId xmlns:a16="http://schemas.microsoft.com/office/drawing/2014/main" id="{DA80DF76-9B2C-42F1-B623-8EE6D4BD7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929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88900</xdr:colOff>
      <xdr:row>261</xdr:row>
      <xdr:rowOff>50800</xdr:rowOff>
    </xdr:to>
    <xdr:pic>
      <xdr:nvPicPr>
        <xdr:cNvPr id="293" name="圖片 292" descr="https://www.slickcharts.com/img/up.gif">
          <a:extLst>
            <a:ext uri="{FF2B5EF4-FFF2-40B4-BE49-F238E27FC236}">
              <a16:creationId xmlns:a16="http://schemas.microsoft.com/office/drawing/2014/main" id="{3421F600-A43F-4145-8502-6F78CE83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949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88900</xdr:colOff>
      <xdr:row>262</xdr:row>
      <xdr:rowOff>50800</xdr:rowOff>
    </xdr:to>
    <xdr:pic>
      <xdr:nvPicPr>
        <xdr:cNvPr id="294" name="圖片 293" descr="https://www.slickcharts.com/img/up.gif">
          <a:extLst>
            <a:ext uri="{FF2B5EF4-FFF2-40B4-BE49-F238E27FC236}">
              <a16:creationId xmlns:a16="http://schemas.microsoft.com/office/drawing/2014/main" id="{B410BFC6-13F1-4062-90F9-99006ECFC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970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88900</xdr:colOff>
      <xdr:row>263</xdr:row>
      <xdr:rowOff>50800</xdr:rowOff>
    </xdr:to>
    <xdr:pic>
      <xdr:nvPicPr>
        <xdr:cNvPr id="295" name="圖片 294" descr="https://www.slickcharts.com/img/up.gif">
          <a:extLst>
            <a:ext uri="{FF2B5EF4-FFF2-40B4-BE49-F238E27FC236}">
              <a16:creationId xmlns:a16="http://schemas.microsoft.com/office/drawing/2014/main" id="{CAD5F5CF-07D7-4143-90EF-9C796700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5990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88900</xdr:colOff>
      <xdr:row>264</xdr:row>
      <xdr:rowOff>50800</xdr:rowOff>
    </xdr:to>
    <xdr:pic>
      <xdr:nvPicPr>
        <xdr:cNvPr id="296" name="圖片 295" descr="https://www.slickcharts.com/img/up.gif">
          <a:extLst>
            <a:ext uri="{FF2B5EF4-FFF2-40B4-BE49-F238E27FC236}">
              <a16:creationId xmlns:a16="http://schemas.microsoft.com/office/drawing/2014/main" id="{8625D9D6-5B7F-4350-A88F-AA21461A7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010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88900</xdr:colOff>
      <xdr:row>265</xdr:row>
      <xdr:rowOff>50800</xdr:rowOff>
    </xdr:to>
    <xdr:pic>
      <xdr:nvPicPr>
        <xdr:cNvPr id="297" name="圖片 296" descr="https://www.slickcharts.com/img/up.gif">
          <a:extLst>
            <a:ext uri="{FF2B5EF4-FFF2-40B4-BE49-F238E27FC236}">
              <a16:creationId xmlns:a16="http://schemas.microsoft.com/office/drawing/2014/main" id="{59D86E63-4F44-477F-95A6-62C89B3BD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031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88900</xdr:colOff>
      <xdr:row>266</xdr:row>
      <xdr:rowOff>50800</xdr:rowOff>
    </xdr:to>
    <xdr:pic>
      <xdr:nvPicPr>
        <xdr:cNvPr id="298" name="圖片 297" descr="https://www.slickcharts.com/img/up.gif">
          <a:extLst>
            <a:ext uri="{FF2B5EF4-FFF2-40B4-BE49-F238E27FC236}">
              <a16:creationId xmlns:a16="http://schemas.microsoft.com/office/drawing/2014/main" id="{3DA50282-A799-41E2-9A32-722A47C62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051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88900</xdr:colOff>
      <xdr:row>267</xdr:row>
      <xdr:rowOff>50800</xdr:rowOff>
    </xdr:to>
    <xdr:pic>
      <xdr:nvPicPr>
        <xdr:cNvPr id="299" name="圖片 298" descr="https://www.slickcharts.com/img/up.gif">
          <a:extLst>
            <a:ext uri="{FF2B5EF4-FFF2-40B4-BE49-F238E27FC236}">
              <a16:creationId xmlns:a16="http://schemas.microsoft.com/office/drawing/2014/main" id="{6DBD0EB0-69FD-4C15-A9DC-7140E51BC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071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88900</xdr:colOff>
      <xdr:row>268</xdr:row>
      <xdr:rowOff>50800</xdr:rowOff>
    </xdr:to>
    <xdr:pic>
      <xdr:nvPicPr>
        <xdr:cNvPr id="300" name="圖片 299" descr="https://www.slickcharts.com/img/up.gif">
          <a:extLst>
            <a:ext uri="{FF2B5EF4-FFF2-40B4-BE49-F238E27FC236}">
              <a16:creationId xmlns:a16="http://schemas.microsoft.com/office/drawing/2014/main" id="{DBFD664B-5871-4481-A311-CA46C4795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092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88900</xdr:colOff>
      <xdr:row>80</xdr:row>
      <xdr:rowOff>50800</xdr:rowOff>
    </xdr:to>
    <xdr:pic>
      <xdr:nvPicPr>
        <xdr:cNvPr id="301" name="圖片 300" descr="https://www.slickcharts.com/img/up.gif">
          <a:extLst>
            <a:ext uri="{FF2B5EF4-FFF2-40B4-BE49-F238E27FC236}">
              <a16:creationId xmlns:a16="http://schemas.microsoft.com/office/drawing/2014/main" id="{D5ACA6C5-E5C5-430B-9F61-28685C0B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112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88900</xdr:colOff>
      <xdr:row>269</xdr:row>
      <xdr:rowOff>50800</xdr:rowOff>
    </xdr:to>
    <xdr:pic>
      <xdr:nvPicPr>
        <xdr:cNvPr id="302" name="圖片 301" descr="https://www.slickcharts.com/img/up.gif">
          <a:extLst>
            <a:ext uri="{FF2B5EF4-FFF2-40B4-BE49-F238E27FC236}">
              <a16:creationId xmlns:a16="http://schemas.microsoft.com/office/drawing/2014/main" id="{DF1C0332-FF11-4A8E-A897-73EC3C74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132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88900</xdr:colOff>
      <xdr:row>15</xdr:row>
      <xdr:rowOff>50800</xdr:rowOff>
    </xdr:to>
    <xdr:pic>
      <xdr:nvPicPr>
        <xdr:cNvPr id="303" name="圖片 302" descr="https://www.slickcharts.com/img/up.gif">
          <a:extLst>
            <a:ext uri="{FF2B5EF4-FFF2-40B4-BE49-F238E27FC236}">
              <a16:creationId xmlns:a16="http://schemas.microsoft.com/office/drawing/2014/main" id="{F2D30743-DED2-4D15-869F-CF51B080B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153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88900</xdr:colOff>
      <xdr:row>270</xdr:row>
      <xdr:rowOff>50800</xdr:rowOff>
    </xdr:to>
    <xdr:pic>
      <xdr:nvPicPr>
        <xdr:cNvPr id="304" name="圖片 303" descr="https://www.slickcharts.com/img/up.gif">
          <a:extLst>
            <a:ext uri="{FF2B5EF4-FFF2-40B4-BE49-F238E27FC236}">
              <a16:creationId xmlns:a16="http://schemas.microsoft.com/office/drawing/2014/main" id="{F3EB5F79-F852-466F-A60D-5B3D72E3B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173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88900</xdr:colOff>
      <xdr:row>271</xdr:row>
      <xdr:rowOff>50800</xdr:rowOff>
    </xdr:to>
    <xdr:pic>
      <xdr:nvPicPr>
        <xdr:cNvPr id="305" name="圖片 304" descr="https://www.slickcharts.com/img/up.gif">
          <a:extLst>
            <a:ext uri="{FF2B5EF4-FFF2-40B4-BE49-F238E27FC236}">
              <a16:creationId xmlns:a16="http://schemas.microsoft.com/office/drawing/2014/main" id="{39007571-F12E-446E-9F0B-3E319A39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193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88900</xdr:colOff>
      <xdr:row>83</xdr:row>
      <xdr:rowOff>50800</xdr:rowOff>
    </xdr:to>
    <xdr:pic>
      <xdr:nvPicPr>
        <xdr:cNvPr id="306" name="圖片 305" descr="https://www.slickcharts.com/img/up.gif">
          <a:extLst>
            <a:ext uri="{FF2B5EF4-FFF2-40B4-BE49-F238E27FC236}">
              <a16:creationId xmlns:a16="http://schemas.microsoft.com/office/drawing/2014/main" id="{18252668-3170-4C58-9D79-AD9885C42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214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88900</xdr:colOff>
      <xdr:row>85</xdr:row>
      <xdr:rowOff>50800</xdr:rowOff>
    </xdr:to>
    <xdr:pic>
      <xdr:nvPicPr>
        <xdr:cNvPr id="307" name="圖片 306" descr="https://www.slickcharts.com/img/down.gif">
          <a:extLst>
            <a:ext uri="{FF2B5EF4-FFF2-40B4-BE49-F238E27FC236}">
              <a16:creationId xmlns:a16="http://schemas.microsoft.com/office/drawing/2014/main" id="{23ABBE60-7F99-4AA4-8D4E-7A37F978D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234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88900</xdr:colOff>
      <xdr:row>272</xdr:row>
      <xdr:rowOff>50800</xdr:rowOff>
    </xdr:to>
    <xdr:pic>
      <xdr:nvPicPr>
        <xdr:cNvPr id="308" name="圖片 307" descr="https://www.slickcharts.com/img/up.gif">
          <a:extLst>
            <a:ext uri="{FF2B5EF4-FFF2-40B4-BE49-F238E27FC236}">
              <a16:creationId xmlns:a16="http://schemas.microsoft.com/office/drawing/2014/main" id="{6CFADD46-A8A2-4E85-A87D-189E1FC9F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254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88900</xdr:colOff>
      <xdr:row>273</xdr:row>
      <xdr:rowOff>50800</xdr:rowOff>
    </xdr:to>
    <xdr:pic>
      <xdr:nvPicPr>
        <xdr:cNvPr id="309" name="圖片 308" descr="https://www.slickcharts.com/img/up.gif">
          <a:extLst>
            <a:ext uri="{FF2B5EF4-FFF2-40B4-BE49-F238E27FC236}">
              <a16:creationId xmlns:a16="http://schemas.microsoft.com/office/drawing/2014/main" id="{7DFF9024-B883-44C2-866C-A682ABEB0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275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88900</xdr:colOff>
      <xdr:row>274</xdr:row>
      <xdr:rowOff>50800</xdr:rowOff>
    </xdr:to>
    <xdr:pic>
      <xdr:nvPicPr>
        <xdr:cNvPr id="310" name="圖片 309" descr="https://www.slickcharts.com/img/up.gif">
          <a:extLst>
            <a:ext uri="{FF2B5EF4-FFF2-40B4-BE49-F238E27FC236}">
              <a16:creationId xmlns:a16="http://schemas.microsoft.com/office/drawing/2014/main" id="{327A94A7-5F74-4E9A-94CC-D496BFCF0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295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88900</xdr:colOff>
      <xdr:row>275</xdr:row>
      <xdr:rowOff>50800</xdr:rowOff>
    </xdr:to>
    <xdr:pic>
      <xdr:nvPicPr>
        <xdr:cNvPr id="311" name="圖片 310" descr="https://www.slickcharts.com/img/up.gif">
          <a:extLst>
            <a:ext uri="{FF2B5EF4-FFF2-40B4-BE49-F238E27FC236}">
              <a16:creationId xmlns:a16="http://schemas.microsoft.com/office/drawing/2014/main" id="{56563A00-D497-4C3F-BB27-95A27B64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315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88900</xdr:colOff>
      <xdr:row>276</xdr:row>
      <xdr:rowOff>50800</xdr:rowOff>
    </xdr:to>
    <xdr:pic>
      <xdr:nvPicPr>
        <xdr:cNvPr id="312" name="圖片 311" descr="https://www.slickcharts.com/img/up.gif">
          <a:extLst>
            <a:ext uri="{FF2B5EF4-FFF2-40B4-BE49-F238E27FC236}">
              <a16:creationId xmlns:a16="http://schemas.microsoft.com/office/drawing/2014/main" id="{F873B8F1-5979-463A-B209-D44CA94A0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336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88900</xdr:colOff>
      <xdr:row>277</xdr:row>
      <xdr:rowOff>50800</xdr:rowOff>
    </xdr:to>
    <xdr:pic>
      <xdr:nvPicPr>
        <xdr:cNvPr id="313" name="圖片 312" descr="https://www.slickcharts.com/img/up.gif">
          <a:extLst>
            <a:ext uri="{FF2B5EF4-FFF2-40B4-BE49-F238E27FC236}">
              <a16:creationId xmlns:a16="http://schemas.microsoft.com/office/drawing/2014/main" id="{C212A70A-327D-4B33-ABA6-D287D99D4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356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88900</xdr:colOff>
      <xdr:row>278</xdr:row>
      <xdr:rowOff>50800</xdr:rowOff>
    </xdr:to>
    <xdr:pic>
      <xdr:nvPicPr>
        <xdr:cNvPr id="314" name="圖片 313" descr="https://www.slickcharts.com/img/up.gif">
          <a:extLst>
            <a:ext uri="{FF2B5EF4-FFF2-40B4-BE49-F238E27FC236}">
              <a16:creationId xmlns:a16="http://schemas.microsoft.com/office/drawing/2014/main" id="{3566CC54-1F53-4438-A233-F9EB0045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376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88900</xdr:colOff>
      <xdr:row>279</xdr:row>
      <xdr:rowOff>50800</xdr:rowOff>
    </xdr:to>
    <xdr:pic>
      <xdr:nvPicPr>
        <xdr:cNvPr id="315" name="圖片 314" descr="https://www.slickcharts.com/img/up.gif">
          <a:extLst>
            <a:ext uri="{FF2B5EF4-FFF2-40B4-BE49-F238E27FC236}">
              <a16:creationId xmlns:a16="http://schemas.microsoft.com/office/drawing/2014/main" id="{9D36EED7-F361-4B62-AF09-4784FFDD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396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88900</xdr:colOff>
      <xdr:row>280</xdr:row>
      <xdr:rowOff>50800</xdr:rowOff>
    </xdr:to>
    <xdr:pic>
      <xdr:nvPicPr>
        <xdr:cNvPr id="316" name="圖片 315" descr="https://www.slickcharts.com/img/up.gif">
          <a:extLst>
            <a:ext uri="{FF2B5EF4-FFF2-40B4-BE49-F238E27FC236}">
              <a16:creationId xmlns:a16="http://schemas.microsoft.com/office/drawing/2014/main" id="{DB867BB8-B693-40A9-A5BC-8A87EBD7C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417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88900</xdr:colOff>
      <xdr:row>281</xdr:row>
      <xdr:rowOff>50800</xdr:rowOff>
    </xdr:to>
    <xdr:pic>
      <xdr:nvPicPr>
        <xdr:cNvPr id="317" name="圖片 316" descr="https://www.slickcharts.com/img/up.gif">
          <a:extLst>
            <a:ext uri="{FF2B5EF4-FFF2-40B4-BE49-F238E27FC236}">
              <a16:creationId xmlns:a16="http://schemas.microsoft.com/office/drawing/2014/main" id="{1CEB170A-603C-4297-A5C5-B89430107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437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88900</xdr:colOff>
      <xdr:row>282</xdr:row>
      <xdr:rowOff>50800</xdr:rowOff>
    </xdr:to>
    <xdr:pic>
      <xdr:nvPicPr>
        <xdr:cNvPr id="318" name="圖片 317" descr="https://www.slickcharts.com/img/up.gif">
          <a:extLst>
            <a:ext uri="{FF2B5EF4-FFF2-40B4-BE49-F238E27FC236}">
              <a16:creationId xmlns:a16="http://schemas.microsoft.com/office/drawing/2014/main" id="{8394AADB-5D61-4F88-8464-AAE54352D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457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88900</xdr:colOff>
      <xdr:row>283</xdr:row>
      <xdr:rowOff>50800</xdr:rowOff>
    </xdr:to>
    <xdr:pic>
      <xdr:nvPicPr>
        <xdr:cNvPr id="319" name="圖片 318" descr="https://www.slickcharts.com/img/up.gif">
          <a:extLst>
            <a:ext uri="{FF2B5EF4-FFF2-40B4-BE49-F238E27FC236}">
              <a16:creationId xmlns:a16="http://schemas.microsoft.com/office/drawing/2014/main" id="{6FBB8C86-6DAB-498A-966A-B9FAE542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478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88900</xdr:colOff>
      <xdr:row>284</xdr:row>
      <xdr:rowOff>50800</xdr:rowOff>
    </xdr:to>
    <xdr:pic>
      <xdr:nvPicPr>
        <xdr:cNvPr id="320" name="圖片 319" descr="https://www.slickcharts.com/img/up.gif">
          <a:extLst>
            <a:ext uri="{FF2B5EF4-FFF2-40B4-BE49-F238E27FC236}">
              <a16:creationId xmlns:a16="http://schemas.microsoft.com/office/drawing/2014/main" id="{11FD9A77-41E2-4697-9E97-6552BE367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498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88900</xdr:colOff>
      <xdr:row>285</xdr:row>
      <xdr:rowOff>50800</xdr:rowOff>
    </xdr:to>
    <xdr:pic>
      <xdr:nvPicPr>
        <xdr:cNvPr id="321" name="圖片 320" descr="https://www.slickcharts.com/img/up.gif">
          <a:extLst>
            <a:ext uri="{FF2B5EF4-FFF2-40B4-BE49-F238E27FC236}">
              <a16:creationId xmlns:a16="http://schemas.microsoft.com/office/drawing/2014/main" id="{4E3A58E0-2D0B-4604-8EA9-D9A6918D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518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88900</xdr:colOff>
      <xdr:row>286</xdr:row>
      <xdr:rowOff>50800</xdr:rowOff>
    </xdr:to>
    <xdr:pic>
      <xdr:nvPicPr>
        <xdr:cNvPr id="322" name="圖片 321" descr="https://www.slickcharts.com/img/up.gif">
          <a:extLst>
            <a:ext uri="{FF2B5EF4-FFF2-40B4-BE49-F238E27FC236}">
              <a16:creationId xmlns:a16="http://schemas.microsoft.com/office/drawing/2014/main" id="{F25EB7DE-B032-447B-B904-480CCF433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539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88900</xdr:colOff>
      <xdr:row>287</xdr:row>
      <xdr:rowOff>50800</xdr:rowOff>
    </xdr:to>
    <xdr:pic>
      <xdr:nvPicPr>
        <xdr:cNvPr id="323" name="圖片 322" descr="https://www.slickcharts.com/img/up.gif">
          <a:extLst>
            <a:ext uri="{FF2B5EF4-FFF2-40B4-BE49-F238E27FC236}">
              <a16:creationId xmlns:a16="http://schemas.microsoft.com/office/drawing/2014/main" id="{22548064-2E3A-4548-AA7E-E79F3007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559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88900</xdr:colOff>
      <xdr:row>1</xdr:row>
      <xdr:rowOff>50800</xdr:rowOff>
    </xdr:to>
    <xdr:pic>
      <xdr:nvPicPr>
        <xdr:cNvPr id="324" name="圖片 323" descr="https://www.slickcharts.com/img/up.gif">
          <a:extLst>
            <a:ext uri="{FF2B5EF4-FFF2-40B4-BE49-F238E27FC236}">
              <a16:creationId xmlns:a16="http://schemas.microsoft.com/office/drawing/2014/main" id="{524DC787-F296-4E18-A3B5-49DF63550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579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88900</xdr:colOff>
      <xdr:row>288</xdr:row>
      <xdr:rowOff>50800</xdr:rowOff>
    </xdr:to>
    <xdr:pic>
      <xdr:nvPicPr>
        <xdr:cNvPr id="325" name="圖片 324" descr="https://www.slickcharts.com/img/up.gif">
          <a:extLst>
            <a:ext uri="{FF2B5EF4-FFF2-40B4-BE49-F238E27FC236}">
              <a16:creationId xmlns:a16="http://schemas.microsoft.com/office/drawing/2014/main" id="{E36BA2A9-1D30-44B1-9E4D-587C6083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600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88900</xdr:colOff>
      <xdr:row>289</xdr:row>
      <xdr:rowOff>50800</xdr:rowOff>
    </xdr:to>
    <xdr:pic>
      <xdr:nvPicPr>
        <xdr:cNvPr id="326" name="圖片 325" descr="https://www.slickcharts.com/img/up.gif">
          <a:extLst>
            <a:ext uri="{FF2B5EF4-FFF2-40B4-BE49-F238E27FC236}">
              <a16:creationId xmlns:a16="http://schemas.microsoft.com/office/drawing/2014/main" id="{CACBB76B-645A-430B-9F0A-EC854BF6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620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88900</xdr:colOff>
      <xdr:row>290</xdr:row>
      <xdr:rowOff>50800</xdr:rowOff>
    </xdr:to>
    <xdr:pic>
      <xdr:nvPicPr>
        <xdr:cNvPr id="327" name="圖片 326" descr="https://www.slickcharts.com/img/up.gif">
          <a:extLst>
            <a:ext uri="{FF2B5EF4-FFF2-40B4-BE49-F238E27FC236}">
              <a16:creationId xmlns:a16="http://schemas.microsoft.com/office/drawing/2014/main" id="{E7E51379-0F41-4CC9-8FFC-E55154B2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640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88900</xdr:colOff>
      <xdr:row>291</xdr:row>
      <xdr:rowOff>50800</xdr:rowOff>
    </xdr:to>
    <xdr:pic>
      <xdr:nvPicPr>
        <xdr:cNvPr id="328" name="圖片 327" descr="https://www.slickcharts.com/img/up.gif">
          <a:extLst>
            <a:ext uri="{FF2B5EF4-FFF2-40B4-BE49-F238E27FC236}">
              <a16:creationId xmlns:a16="http://schemas.microsoft.com/office/drawing/2014/main" id="{97660778-12E3-43DF-B985-5F5289407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661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88900</xdr:colOff>
      <xdr:row>292</xdr:row>
      <xdr:rowOff>50800</xdr:rowOff>
    </xdr:to>
    <xdr:pic>
      <xdr:nvPicPr>
        <xdr:cNvPr id="329" name="圖片 328" descr="https://www.slickcharts.com/img/up.gif">
          <a:extLst>
            <a:ext uri="{FF2B5EF4-FFF2-40B4-BE49-F238E27FC236}">
              <a16:creationId xmlns:a16="http://schemas.microsoft.com/office/drawing/2014/main" id="{468F26BA-3FB9-4AAD-9C97-D5C0D4AE7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681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88900</xdr:colOff>
      <xdr:row>293</xdr:row>
      <xdr:rowOff>50800</xdr:rowOff>
    </xdr:to>
    <xdr:pic>
      <xdr:nvPicPr>
        <xdr:cNvPr id="330" name="圖片 329" descr="https://www.slickcharts.com/img/down.gif">
          <a:extLst>
            <a:ext uri="{FF2B5EF4-FFF2-40B4-BE49-F238E27FC236}">
              <a16:creationId xmlns:a16="http://schemas.microsoft.com/office/drawing/2014/main" id="{7B00164D-DF6A-4695-BEA1-6B1EDBD1B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701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88900</xdr:colOff>
      <xdr:row>294</xdr:row>
      <xdr:rowOff>50800</xdr:rowOff>
    </xdr:to>
    <xdr:pic>
      <xdr:nvPicPr>
        <xdr:cNvPr id="331" name="圖片 330" descr="https://www.slickcharts.com/img/up.gif">
          <a:extLst>
            <a:ext uri="{FF2B5EF4-FFF2-40B4-BE49-F238E27FC236}">
              <a16:creationId xmlns:a16="http://schemas.microsoft.com/office/drawing/2014/main" id="{9601807B-B8D8-469E-8A48-447E53439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722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88900</xdr:colOff>
      <xdr:row>295</xdr:row>
      <xdr:rowOff>50800</xdr:rowOff>
    </xdr:to>
    <xdr:pic>
      <xdr:nvPicPr>
        <xdr:cNvPr id="332" name="圖片 331" descr="https://www.slickcharts.com/img/up.gif">
          <a:extLst>
            <a:ext uri="{FF2B5EF4-FFF2-40B4-BE49-F238E27FC236}">
              <a16:creationId xmlns:a16="http://schemas.microsoft.com/office/drawing/2014/main" id="{559A966F-5CAA-49B6-8314-3094C1AE1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742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88900</xdr:colOff>
      <xdr:row>296</xdr:row>
      <xdr:rowOff>50800</xdr:rowOff>
    </xdr:to>
    <xdr:pic>
      <xdr:nvPicPr>
        <xdr:cNvPr id="333" name="圖片 332" descr="https://www.slickcharts.com/img/up.gif">
          <a:extLst>
            <a:ext uri="{FF2B5EF4-FFF2-40B4-BE49-F238E27FC236}">
              <a16:creationId xmlns:a16="http://schemas.microsoft.com/office/drawing/2014/main" id="{072DAE6B-7E20-4EB1-9C39-440E983D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762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88900</xdr:colOff>
      <xdr:row>297</xdr:row>
      <xdr:rowOff>50800</xdr:rowOff>
    </xdr:to>
    <xdr:pic>
      <xdr:nvPicPr>
        <xdr:cNvPr id="334" name="圖片 333" descr="https://www.slickcharts.com/img/down.gif">
          <a:extLst>
            <a:ext uri="{FF2B5EF4-FFF2-40B4-BE49-F238E27FC236}">
              <a16:creationId xmlns:a16="http://schemas.microsoft.com/office/drawing/2014/main" id="{B92E4621-6381-4F9E-B1AD-4A5CC815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783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88900</xdr:colOff>
      <xdr:row>298</xdr:row>
      <xdr:rowOff>50800</xdr:rowOff>
    </xdr:to>
    <xdr:pic>
      <xdr:nvPicPr>
        <xdr:cNvPr id="335" name="圖片 334" descr="https://www.slickcharts.com/img/up.gif">
          <a:extLst>
            <a:ext uri="{FF2B5EF4-FFF2-40B4-BE49-F238E27FC236}">
              <a16:creationId xmlns:a16="http://schemas.microsoft.com/office/drawing/2014/main" id="{DA3AE992-F6DD-4E3B-8D74-C42A64FC2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803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88900</xdr:colOff>
      <xdr:row>299</xdr:row>
      <xdr:rowOff>50800</xdr:rowOff>
    </xdr:to>
    <xdr:pic>
      <xdr:nvPicPr>
        <xdr:cNvPr id="336" name="圖片 335" descr="https://www.slickcharts.com/img/up.gif">
          <a:extLst>
            <a:ext uri="{FF2B5EF4-FFF2-40B4-BE49-F238E27FC236}">
              <a16:creationId xmlns:a16="http://schemas.microsoft.com/office/drawing/2014/main" id="{7A1D622B-0D5A-4F50-8AD3-CBA706B09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823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88900</xdr:colOff>
      <xdr:row>300</xdr:row>
      <xdr:rowOff>50800</xdr:rowOff>
    </xdr:to>
    <xdr:pic>
      <xdr:nvPicPr>
        <xdr:cNvPr id="337" name="圖片 336" descr="https://www.slickcharts.com/img/up.gif">
          <a:extLst>
            <a:ext uri="{FF2B5EF4-FFF2-40B4-BE49-F238E27FC236}">
              <a16:creationId xmlns:a16="http://schemas.microsoft.com/office/drawing/2014/main" id="{B220E696-4A29-47A7-8FFE-36693777B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844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88900</xdr:colOff>
      <xdr:row>1</xdr:row>
      <xdr:rowOff>50800</xdr:rowOff>
    </xdr:to>
    <xdr:pic>
      <xdr:nvPicPr>
        <xdr:cNvPr id="338" name="圖片 337" descr="https://www.slickcharts.com/img/down.gif">
          <a:extLst>
            <a:ext uri="{FF2B5EF4-FFF2-40B4-BE49-F238E27FC236}">
              <a16:creationId xmlns:a16="http://schemas.microsoft.com/office/drawing/2014/main" id="{0043EBE0-A751-4A03-B356-262F4416F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864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88900</xdr:colOff>
      <xdr:row>301</xdr:row>
      <xdr:rowOff>50800</xdr:rowOff>
    </xdr:to>
    <xdr:pic>
      <xdr:nvPicPr>
        <xdr:cNvPr id="339" name="圖片 338" descr="https://www.slickcharts.com/img/up.gif">
          <a:extLst>
            <a:ext uri="{FF2B5EF4-FFF2-40B4-BE49-F238E27FC236}">
              <a16:creationId xmlns:a16="http://schemas.microsoft.com/office/drawing/2014/main" id="{970D3920-CF40-4C4D-BAF4-20595C8B4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884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88900</xdr:colOff>
      <xdr:row>302</xdr:row>
      <xdr:rowOff>50800</xdr:rowOff>
    </xdr:to>
    <xdr:pic>
      <xdr:nvPicPr>
        <xdr:cNvPr id="340" name="圖片 339" descr="https://www.slickcharts.com/img/up.gif">
          <a:extLst>
            <a:ext uri="{FF2B5EF4-FFF2-40B4-BE49-F238E27FC236}">
              <a16:creationId xmlns:a16="http://schemas.microsoft.com/office/drawing/2014/main" id="{F6A2576A-9948-4D48-9BEB-18C9158F6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904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88900</xdr:colOff>
      <xdr:row>303</xdr:row>
      <xdr:rowOff>50800</xdr:rowOff>
    </xdr:to>
    <xdr:pic>
      <xdr:nvPicPr>
        <xdr:cNvPr id="341" name="圖片 340" descr="https://www.slickcharts.com/img/up.gif">
          <a:extLst>
            <a:ext uri="{FF2B5EF4-FFF2-40B4-BE49-F238E27FC236}">
              <a16:creationId xmlns:a16="http://schemas.microsoft.com/office/drawing/2014/main" id="{CCB9F485-D676-463F-93E3-6694C803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925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88900</xdr:colOff>
      <xdr:row>81</xdr:row>
      <xdr:rowOff>50800</xdr:rowOff>
    </xdr:to>
    <xdr:pic>
      <xdr:nvPicPr>
        <xdr:cNvPr id="342" name="圖片 341" descr="https://www.slickcharts.com/img/up.gif">
          <a:extLst>
            <a:ext uri="{FF2B5EF4-FFF2-40B4-BE49-F238E27FC236}">
              <a16:creationId xmlns:a16="http://schemas.microsoft.com/office/drawing/2014/main" id="{00273570-0F8A-4A94-8C45-CBEA870C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945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88900</xdr:colOff>
      <xdr:row>304</xdr:row>
      <xdr:rowOff>50800</xdr:rowOff>
    </xdr:to>
    <xdr:pic>
      <xdr:nvPicPr>
        <xdr:cNvPr id="343" name="圖片 342" descr="https://www.slickcharts.com/img/up.gif">
          <a:extLst>
            <a:ext uri="{FF2B5EF4-FFF2-40B4-BE49-F238E27FC236}">
              <a16:creationId xmlns:a16="http://schemas.microsoft.com/office/drawing/2014/main" id="{4CCDAF53-BC41-42DF-96AC-4139768D8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965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88900</xdr:colOff>
      <xdr:row>305</xdr:row>
      <xdr:rowOff>50800</xdr:rowOff>
    </xdr:to>
    <xdr:pic>
      <xdr:nvPicPr>
        <xdr:cNvPr id="344" name="圖片 343" descr="https://www.slickcharts.com/img/up.gif">
          <a:extLst>
            <a:ext uri="{FF2B5EF4-FFF2-40B4-BE49-F238E27FC236}">
              <a16:creationId xmlns:a16="http://schemas.microsoft.com/office/drawing/2014/main" id="{B04D3B53-2A8C-4F39-AAFD-BF6CE8191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6986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88900</xdr:colOff>
      <xdr:row>306</xdr:row>
      <xdr:rowOff>50800</xdr:rowOff>
    </xdr:to>
    <xdr:pic>
      <xdr:nvPicPr>
        <xdr:cNvPr id="345" name="圖片 344" descr="https://www.slickcharts.com/img/up.gif">
          <a:extLst>
            <a:ext uri="{FF2B5EF4-FFF2-40B4-BE49-F238E27FC236}">
              <a16:creationId xmlns:a16="http://schemas.microsoft.com/office/drawing/2014/main" id="{520DE6A8-17C8-46B3-B03A-FF4074565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006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88900</xdr:colOff>
      <xdr:row>307</xdr:row>
      <xdr:rowOff>50800</xdr:rowOff>
    </xdr:to>
    <xdr:pic>
      <xdr:nvPicPr>
        <xdr:cNvPr id="346" name="圖片 345" descr="https://www.slickcharts.com/img/up.gif">
          <a:extLst>
            <a:ext uri="{FF2B5EF4-FFF2-40B4-BE49-F238E27FC236}">
              <a16:creationId xmlns:a16="http://schemas.microsoft.com/office/drawing/2014/main" id="{86897D44-6093-447C-908A-3F5AFA04D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026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88900</xdr:colOff>
      <xdr:row>308</xdr:row>
      <xdr:rowOff>50800</xdr:rowOff>
    </xdr:to>
    <xdr:pic>
      <xdr:nvPicPr>
        <xdr:cNvPr id="347" name="圖片 346" descr="https://www.slickcharts.com/img/up.gif">
          <a:extLst>
            <a:ext uri="{FF2B5EF4-FFF2-40B4-BE49-F238E27FC236}">
              <a16:creationId xmlns:a16="http://schemas.microsoft.com/office/drawing/2014/main" id="{A6D63F3A-748F-44AE-A002-E4782128F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047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88900</xdr:colOff>
      <xdr:row>309</xdr:row>
      <xdr:rowOff>50800</xdr:rowOff>
    </xdr:to>
    <xdr:pic>
      <xdr:nvPicPr>
        <xdr:cNvPr id="348" name="圖片 347" descr="https://www.slickcharts.com/img/up.gif">
          <a:extLst>
            <a:ext uri="{FF2B5EF4-FFF2-40B4-BE49-F238E27FC236}">
              <a16:creationId xmlns:a16="http://schemas.microsoft.com/office/drawing/2014/main" id="{CD52E2DF-2030-498C-BC13-CEB0C18DF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067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88900</xdr:colOff>
      <xdr:row>310</xdr:row>
      <xdr:rowOff>50800</xdr:rowOff>
    </xdr:to>
    <xdr:pic>
      <xdr:nvPicPr>
        <xdr:cNvPr id="349" name="圖片 348" descr="https://www.slickcharts.com/img/up.gif">
          <a:extLst>
            <a:ext uri="{FF2B5EF4-FFF2-40B4-BE49-F238E27FC236}">
              <a16:creationId xmlns:a16="http://schemas.microsoft.com/office/drawing/2014/main" id="{02B808AC-1E09-4E42-8774-DA6CCA3B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087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88900</xdr:colOff>
      <xdr:row>311</xdr:row>
      <xdr:rowOff>50800</xdr:rowOff>
    </xdr:to>
    <xdr:pic>
      <xdr:nvPicPr>
        <xdr:cNvPr id="350" name="圖片 349" descr="https://www.slickcharts.com/img/up.gif">
          <a:extLst>
            <a:ext uri="{FF2B5EF4-FFF2-40B4-BE49-F238E27FC236}">
              <a16:creationId xmlns:a16="http://schemas.microsoft.com/office/drawing/2014/main" id="{84819E64-9A4F-403D-B385-F985DD74F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108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88900</xdr:colOff>
      <xdr:row>312</xdr:row>
      <xdr:rowOff>50800</xdr:rowOff>
    </xdr:to>
    <xdr:pic>
      <xdr:nvPicPr>
        <xdr:cNvPr id="351" name="圖片 350" descr="https://www.slickcharts.com/img/up.gif">
          <a:extLst>
            <a:ext uri="{FF2B5EF4-FFF2-40B4-BE49-F238E27FC236}">
              <a16:creationId xmlns:a16="http://schemas.microsoft.com/office/drawing/2014/main" id="{2C433A5C-0D83-42CF-AA1E-1574F3E29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128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88900</xdr:colOff>
      <xdr:row>1</xdr:row>
      <xdr:rowOff>50800</xdr:rowOff>
    </xdr:to>
    <xdr:pic>
      <xdr:nvPicPr>
        <xdr:cNvPr id="352" name="圖片 351" descr="https://www.slickcharts.com/img/up.gif">
          <a:extLst>
            <a:ext uri="{FF2B5EF4-FFF2-40B4-BE49-F238E27FC236}">
              <a16:creationId xmlns:a16="http://schemas.microsoft.com/office/drawing/2014/main" id="{BE009B65-A37B-4BE2-B148-9D45A8D51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148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88900</xdr:colOff>
      <xdr:row>313</xdr:row>
      <xdr:rowOff>50800</xdr:rowOff>
    </xdr:to>
    <xdr:pic>
      <xdr:nvPicPr>
        <xdr:cNvPr id="353" name="圖片 352" descr="https://www.slickcharts.com/img/down.gif">
          <a:extLst>
            <a:ext uri="{FF2B5EF4-FFF2-40B4-BE49-F238E27FC236}">
              <a16:creationId xmlns:a16="http://schemas.microsoft.com/office/drawing/2014/main" id="{6B63ABD5-CE75-4D75-874A-0F9E567D7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169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88900</xdr:colOff>
      <xdr:row>314</xdr:row>
      <xdr:rowOff>50800</xdr:rowOff>
    </xdr:to>
    <xdr:pic>
      <xdr:nvPicPr>
        <xdr:cNvPr id="354" name="圖片 353" descr="https://www.slickcharts.com/img/up.gif">
          <a:extLst>
            <a:ext uri="{FF2B5EF4-FFF2-40B4-BE49-F238E27FC236}">
              <a16:creationId xmlns:a16="http://schemas.microsoft.com/office/drawing/2014/main" id="{989C13FD-5AD6-44FA-B50E-DB15E6368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189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88900</xdr:colOff>
      <xdr:row>315</xdr:row>
      <xdr:rowOff>50800</xdr:rowOff>
    </xdr:to>
    <xdr:pic>
      <xdr:nvPicPr>
        <xdr:cNvPr id="355" name="圖片 354" descr="https://www.slickcharts.com/img/up.gif">
          <a:extLst>
            <a:ext uri="{FF2B5EF4-FFF2-40B4-BE49-F238E27FC236}">
              <a16:creationId xmlns:a16="http://schemas.microsoft.com/office/drawing/2014/main" id="{FF0A54B1-9665-4418-A00C-28D87F26C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209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88900</xdr:colOff>
      <xdr:row>316</xdr:row>
      <xdr:rowOff>50800</xdr:rowOff>
    </xdr:to>
    <xdr:pic>
      <xdr:nvPicPr>
        <xdr:cNvPr id="356" name="圖片 355" descr="https://www.slickcharts.com/img/up.gif">
          <a:extLst>
            <a:ext uri="{FF2B5EF4-FFF2-40B4-BE49-F238E27FC236}">
              <a16:creationId xmlns:a16="http://schemas.microsoft.com/office/drawing/2014/main" id="{BF560290-2F45-429D-9704-98E3785D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230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88900</xdr:colOff>
      <xdr:row>317</xdr:row>
      <xdr:rowOff>50800</xdr:rowOff>
    </xdr:to>
    <xdr:pic>
      <xdr:nvPicPr>
        <xdr:cNvPr id="357" name="圖片 356" descr="https://www.slickcharts.com/img/up.gif">
          <a:extLst>
            <a:ext uri="{FF2B5EF4-FFF2-40B4-BE49-F238E27FC236}">
              <a16:creationId xmlns:a16="http://schemas.microsoft.com/office/drawing/2014/main" id="{3B8D2544-F9C4-44E2-BC40-DC9E92543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250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88900</xdr:colOff>
      <xdr:row>318</xdr:row>
      <xdr:rowOff>50800</xdr:rowOff>
    </xdr:to>
    <xdr:pic>
      <xdr:nvPicPr>
        <xdr:cNvPr id="358" name="圖片 357" descr="https://www.slickcharts.com/img/up.gif">
          <a:extLst>
            <a:ext uri="{FF2B5EF4-FFF2-40B4-BE49-F238E27FC236}">
              <a16:creationId xmlns:a16="http://schemas.microsoft.com/office/drawing/2014/main" id="{DD29DB76-A516-46FB-877E-C0075BEB1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270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88900</xdr:colOff>
      <xdr:row>319</xdr:row>
      <xdr:rowOff>50800</xdr:rowOff>
    </xdr:to>
    <xdr:pic>
      <xdr:nvPicPr>
        <xdr:cNvPr id="359" name="圖片 358" descr="https://www.slickcharts.com/img/up.gif">
          <a:extLst>
            <a:ext uri="{FF2B5EF4-FFF2-40B4-BE49-F238E27FC236}">
              <a16:creationId xmlns:a16="http://schemas.microsoft.com/office/drawing/2014/main" id="{19FC6D4A-B592-4334-A05B-6CD7BCAF1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291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88900</xdr:colOff>
      <xdr:row>320</xdr:row>
      <xdr:rowOff>50800</xdr:rowOff>
    </xdr:to>
    <xdr:pic>
      <xdr:nvPicPr>
        <xdr:cNvPr id="360" name="圖片 359" descr="https://www.slickcharts.com/img/up.gif">
          <a:extLst>
            <a:ext uri="{FF2B5EF4-FFF2-40B4-BE49-F238E27FC236}">
              <a16:creationId xmlns:a16="http://schemas.microsoft.com/office/drawing/2014/main" id="{87CAE74B-DF06-4B69-98B0-CB73C1AF8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311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88900</xdr:colOff>
      <xdr:row>321</xdr:row>
      <xdr:rowOff>50800</xdr:rowOff>
    </xdr:to>
    <xdr:pic>
      <xdr:nvPicPr>
        <xdr:cNvPr id="361" name="圖片 360" descr="https://www.slickcharts.com/img/up.gif">
          <a:extLst>
            <a:ext uri="{FF2B5EF4-FFF2-40B4-BE49-F238E27FC236}">
              <a16:creationId xmlns:a16="http://schemas.microsoft.com/office/drawing/2014/main" id="{6EC99B9E-441F-48F5-B82E-C5736CBC7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331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88900</xdr:colOff>
      <xdr:row>322</xdr:row>
      <xdr:rowOff>50800</xdr:rowOff>
    </xdr:to>
    <xdr:pic>
      <xdr:nvPicPr>
        <xdr:cNvPr id="362" name="圖片 361" descr="https://www.slickcharts.com/img/up.gif">
          <a:extLst>
            <a:ext uri="{FF2B5EF4-FFF2-40B4-BE49-F238E27FC236}">
              <a16:creationId xmlns:a16="http://schemas.microsoft.com/office/drawing/2014/main" id="{DB74A061-A787-42CF-B1F9-EF0EF70C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352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88900</xdr:colOff>
      <xdr:row>323</xdr:row>
      <xdr:rowOff>50800</xdr:rowOff>
    </xdr:to>
    <xdr:pic>
      <xdr:nvPicPr>
        <xdr:cNvPr id="363" name="圖片 362" descr="https://www.slickcharts.com/img/up.gif">
          <a:extLst>
            <a:ext uri="{FF2B5EF4-FFF2-40B4-BE49-F238E27FC236}">
              <a16:creationId xmlns:a16="http://schemas.microsoft.com/office/drawing/2014/main" id="{52235686-1D21-4B67-9D31-F17E4316B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372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88900</xdr:colOff>
      <xdr:row>82</xdr:row>
      <xdr:rowOff>50800</xdr:rowOff>
    </xdr:to>
    <xdr:pic>
      <xdr:nvPicPr>
        <xdr:cNvPr id="364" name="圖片 363" descr="https://www.slickcharts.com/img/up.gif">
          <a:extLst>
            <a:ext uri="{FF2B5EF4-FFF2-40B4-BE49-F238E27FC236}">
              <a16:creationId xmlns:a16="http://schemas.microsoft.com/office/drawing/2014/main" id="{3D9562F2-93DE-41EF-8E3E-50624D5A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392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88900</xdr:colOff>
      <xdr:row>324</xdr:row>
      <xdr:rowOff>50800</xdr:rowOff>
    </xdr:to>
    <xdr:pic>
      <xdr:nvPicPr>
        <xdr:cNvPr id="365" name="圖片 364" descr="https://www.slickcharts.com/img/up.gif">
          <a:extLst>
            <a:ext uri="{FF2B5EF4-FFF2-40B4-BE49-F238E27FC236}">
              <a16:creationId xmlns:a16="http://schemas.microsoft.com/office/drawing/2014/main" id="{DCD995C1-6373-4240-A192-362EB5D01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412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88900</xdr:colOff>
      <xdr:row>325</xdr:row>
      <xdr:rowOff>50800</xdr:rowOff>
    </xdr:to>
    <xdr:pic>
      <xdr:nvPicPr>
        <xdr:cNvPr id="366" name="圖片 365" descr="https://www.slickcharts.com/img/up.gif">
          <a:extLst>
            <a:ext uri="{FF2B5EF4-FFF2-40B4-BE49-F238E27FC236}">
              <a16:creationId xmlns:a16="http://schemas.microsoft.com/office/drawing/2014/main" id="{709D2D15-E5EA-4AD1-8ADB-C864056BE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433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88900</xdr:colOff>
      <xdr:row>326</xdr:row>
      <xdr:rowOff>50800</xdr:rowOff>
    </xdr:to>
    <xdr:pic>
      <xdr:nvPicPr>
        <xdr:cNvPr id="367" name="圖片 366" descr="https://www.slickcharts.com/img/up.gif">
          <a:extLst>
            <a:ext uri="{FF2B5EF4-FFF2-40B4-BE49-F238E27FC236}">
              <a16:creationId xmlns:a16="http://schemas.microsoft.com/office/drawing/2014/main" id="{7D16AAF2-55A2-4F1F-89F4-7336FA1DB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453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88900</xdr:colOff>
      <xdr:row>327</xdr:row>
      <xdr:rowOff>50800</xdr:rowOff>
    </xdr:to>
    <xdr:pic>
      <xdr:nvPicPr>
        <xdr:cNvPr id="368" name="圖片 367" descr="https://www.slickcharts.com/img/up.gif">
          <a:extLst>
            <a:ext uri="{FF2B5EF4-FFF2-40B4-BE49-F238E27FC236}">
              <a16:creationId xmlns:a16="http://schemas.microsoft.com/office/drawing/2014/main" id="{4AEEFAF7-C6D8-4EDB-80A5-678532275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473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88900</xdr:colOff>
      <xdr:row>328</xdr:row>
      <xdr:rowOff>50800</xdr:rowOff>
    </xdr:to>
    <xdr:pic>
      <xdr:nvPicPr>
        <xdr:cNvPr id="369" name="圖片 368" descr="https://www.slickcharts.com/img/up.gif">
          <a:extLst>
            <a:ext uri="{FF2B5EF4-FFF2-40B4-BE49-F238E27FC236}">
              <a16:creationId xmlns:a16="http://schemas.microsoft.com/office/drawing/2014/main" id="{38B351CF-0E74-4AA4-8E2B-E69E35F87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494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88900</xdr:colOff>
      <xdr:row>329</xdr:row>
      <xdr:rowOff>50800</xdr:rowOff>
    </xdr:to>
    <xdr:pic>
      <xdr:nvPicPr>
        <xdr:cNvPr id="370" name="圖片 369" descr="https://www.slickcharts.com/img/up.gif">
          <a:extLst>
            <a:ext uri="{FF2B5EF4-FFF2-40B4-BE49-F238E27FC236}">
              <a16:creationId xmlns:a16="http://schemas.microsoft.com/office/drawing/2014/main" id="{77B5A3DF-80C2-4DC3-8B4E-2E3A2632E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514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88900</xdr:colOff>
      <xdr:row>330</xdr:row>
      <xdr:rowOff>50800</xdr:rowOff>
    </xdr:to>
    <xdr:pic>
      <xdr:nvPicPr>
        <xdr:cNvPr id="371" name="圖片 370" descr="https://www.slickcharts.com/img/up.gif">
          <a:extLst>
            <a:ext uri="{FF2B5EF4-FFF2-40B4-BE49-F238E27FC236}">
              <a16:creationId xmlns:a16="http://schemas.microsoft.com/office/drawing/2014/main" id="{DAC90B24-625A-4B15-93E1-894E67ABB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534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88900</xdr:colOff>
      <xdr:row>331</xdr:row>
      <xdr:rowOff>50800</xdr:rowOff>
    </xdr:to>
    <xdr:pic>
      <xdr:nvPicPr>
        <xdr:cNvPr id="372" name="圖片 371" descr="https://www.slickcharts.com/img/up.gif">
          <a:extLst>
            <a:ext uri="{FF2B5EF4-FFF2-40B4-BE49-F238E27FC236}">
              <a16:creationId xmlns:a16="http://schemas.microsoft.com/office/drawing/2014/main" id="{9B0A8A5A-4841-45BF-A414-930B21954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555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88900</xdr:colOff>
      <xdr:row>332</xdr:row>
      <xdr:rowOff>50800</xdr:rowOff>
    </xdr:to>
    <xdr:pic>
      <xdr:nvPicPr>
        <xdr:cNvPr id="373" name="圖片 372" descr="https://www.slickcharts.com/img/up.gif">
          <a:extLst>
            <a:ext uri="{FF2B5EF4-FFF2-40B4-BE49-F238E27FC236}">
              <a16:creationId xmlns:a16="http://schemas.microsoft.com/office/drawing/2014/main" id="{1EB83CA0-DF79-4C23-ACC2-1B064FD8F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575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88900</xdr:colOff>
      <xdr:row>333</xdr:row>
      <xdr:rowOff>50800</xdr:rowOff>
    </xdr:to>
    <xdr:pic>
      <xdr:nvPicPr>
        <xdr:cNvPr id="374" name="圖片 373" descr="https://www.slickcharts.com/img/up.gif">
          <a:extLst>
            <a:ext uri="{FF2B5EF4-FFF2-40B4-BE49-F238E27FC236}">
              <a16:creationId xmlns:a16="http://schemas.microsoft.com/office/drawing/2014/main" id="{1856A84C-DCDC-4C13-83F7-96D4F56AC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595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88900</xdr:colOff>
      <xdr:row>334</xdr:row>
      <xdr:rowOff>50800</xdr:rowOff>
    </xdr:to>
    <xdr:pic>
      <xdr:nvPicPr>
        <xdr:cNvPr id="375" name="圖片 374" descr="https://www.slickcharts.com/img/up.gif">
          <a:extLst>
            <a:ext uri="{FF2B5EF4-FFF2-40B4-BE49-F238E27FC236}">
              <a16:creationId xmlns:a16="http://schemas.microsoft.com/office/drawing/2014/main" id="{35A97A5F-3C67-4D14-B6D7-BDE9E7B6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616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88900</xdr:colOff>
      <xdr:row>335</xdr:row>
      <xdr:rowOff>50800</xdr:rowOff>
    </xdr:to>
    <xdr:pic>
      <xdr:nvPicPr>
        <xdr:cNvPr id="376" name="圖片 375" descr="https://www.slickcharts.com/img/up.gif">
          <a:extLst>
            <a:ext uri="{FF2B5EF4-FFF2-40B4-BE49-F238E27FC236}">
              <a16:creationId xmlns:a16="http://schemas.microsoft.com/office/drawing/2014/main" id="{4448449F-3DE4-42C4-B997-E209D3C7E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636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88900</xdr:colOff>
      <xdr:row>336</xdr:row>
      <xdr:rowOff>50800</xdr:rowOff>
    </xdr:to>
    <xdr:pic>
      <xdr:nvPicPr>
        <xdr:cNvPr id="377" name="圖片 376" descr="https://www.slickcharts.com/img/up.gif">
          <a:extLst>
            <a:ext uri="{FF2B5EF4-FFF2-40B4-BE49-F238E27FC236}">
              <a16:creationId xmlns:a16="http://schemas.microsoft.com/office/drawing/2014/main" id="{2B558FD6-7689-4275-81B4-97BD8109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656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88900</xdr:colOff>
      <xdr:row>337</xdr:row>
      <xdr:rowOff>50800</xdr:rowOff>
    </xdr:to>
    <xdr:pic>
      <xdr:nvPicPr>
        <xdr:cNvPr id="378" name="圖片 377" descr="https://www.slickcharts.com/img/up.gif">
          <a:extLst>
            <a:ext uri="{FF2B5EF4-FFF2-40B4-BE49-F238E27FC236}">
              <a16:creationId xmlns:a16="http://schemas.microsoft.com/office/drawing/2014/main" id="{16179EF2-1028-4EBE-B2F7-79B72E06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677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88900</xdr:colOff>
      <xdr:row>338</xdr:row>
      <xdr:rowOff>50800</xdr:rowOff>
    </xdr:to>
    <xdr:pic>
      <xdr:nvPicPr>
        <xdr:cNvPr id="379" name="圖片 378" descr="https://www.slickcharts.com/img/up.gif">
          <a:extLst>
            <a:ext uri="{FF2B5EF4-FFF2-40B4-BE49-F238E27FC236}">
              <a16:creationId xmlns:a16="http://schemas.microsoft.com/office/drawing/2014/main" id="{B78D73A9-09CD-432B-BD20-CBFF146BB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697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88900</xdr:colOff>
      <xdr:row>339</xdr:row>
      <xdr:rowOff>50800</xdr:rowOff>
    </xdr:to>
    <xdr:pic>
      <xdr:nvPicPr>
        <xdr:cNvPr id="380" name="圖片 379" descr="https://www.slickcharts.com/img/up.gif">
          <a:extLst>
            <a:ext uri="{FF2B5EF4-FFF2-40B4-BE49-F238E27FC236}">
              <a16:creationId xmlns:a16="http://schemas.microsoft.com/office/drawing/2014/main" id="{063FCA0D-A6E7-49E3-A326-D4F8C3EBA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717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88900</xdr:colOff>
      <xdr:row>340</xdr:row>
      <xdr:rowOff>50800</xdr:rowOff>
    </xdr:to>
    <xdr:pic>
      <xdr:nvPicPr>
        <xdr:cNvPr id="381" name="圖片 380" descr="https://www.slickcharts.com/img/up.gif">
          <a:extLst>
            <a:ext uri="{FF2B5EF4-FFF2-40B4-BE49-F238E27FC236}">
              <a16:creationId xmlns:a16="http://schemas.microsoft.com/office/drawing/2014/main" id="{7232155B-B85C-4700-8404-62B214E36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738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88900</xdr:colOff>
      <xdr:row>1</xdr:row>
      <xdr:rowOff>50800</xdr:rowOff>
    </xdr:to>
    <xdr:pic>
      <xdr:nvPicPr>
        <xdr:cNvPr id="382" name="圖片 381" descr="https://www.slickcharts.com/img/up.gif">
          <a:extLst>
            <a:ext uri="{FF2B5EF4-FFF2-40B4-BE49-F238E27FC236}">
              <a16:creationId xmlns:a16="http://schemas.microsoft.com/office/drawing/2014/main" id="{98622ADC-6F6E-46D7-A11F-1D488E68B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758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88900</xdr:colOff>
      <xdr:row>341</xdr:row>
      <xdr:rowOff>50800</xdr:rowOff>
    </xdr:to>
    <xdr:pic>
      <xdr:nvPicPr>
        <xdr:cNvPr id="383" name="圖片 382" descr="https://www.slickcharts.com/img/up.gif">
          <a:extLst>
            <a:ext uri="{FF2B5EF4-FFF2-40B4-BE49-F238E27FC236}">
              <a16:creationId xmlns:a16="http://schemas.microsoft.com/office/drawing/2014/main" id="{7B28F49A-9AA5-4504-BA13-DCB9A6E8A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778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88900</xdr:colOff>
      <xdr:row>342</xdr:row>
      <xdr:rowOff>50800</xdr:rowOff>
    </xdr:to>
    <xdr:pic>
      <xdr:nvPicPr>
        <xdr:cNvPr id="384" name="圖片 383" descr="https://www.slickcharts.com/img/up.gif">
          <a:extLst>
            <a:ext uri="{FF2B5EF4-FFF2-40B4-BE49-F238E27FC236}">
              <a16:creationId xmlns:a16="http://schemas.microsoft.com/office/drawing/2014/main" id="{5A2B9930-557E-4EF6-BAF2-9B12AD80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799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88900</xdr:colOff>
      <xdr:row>343</xdr:row>
      <xdr:rowOff>50800</xdr:rowOff>
    </xdr:to>
    <xdr:pic>
      <xdr:nvPicPr>
        <xdr:cNvPr id="385" name="圖片 384" descr="https://www.slickcharts.com/img/up.gif">
          <a:extLst>
            <a:ext uri="{FF2B5EF4-FFF2-40B4-BE49-F238E27FC236}">
              <a16:creationId xmlns:a16="http://schemas.microsoft.com/office/drawing/2014/main" id="{347A9407-CB97-4BAE-A329-5A1614912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819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88900</xdr:colOff>
      <xdr:row>344</xdr:row>
      <xdr:rowOff>50800</xdr:rowOff>
    </xdr:to>
    <xdr:pic>
      <xdr:nvPicPr>
        <xdr:cNvPr id="386" name="圖片 385" descr="https://www.slickcharts.com/img/up.gif">
          <a:extLst>
            <a:ext uri="{FF2B5EF4-FFF2-40B4-BE49-F238E27FC236}">
              <a16:creationId xmlns:a16="http://schemas.microsoft.com/office/drawing/2014/main" id="{3B594845-AFF0-493E-9EEA-AFCAB968F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839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88900</xdr:colOff>
      <xdr:row>345</xdr:row>
      <xdr:rowOff>50800</xdr:rowOff>
    </xdr:to>
    <xdr:pic>
      <xdr:nvPicPr>
        <xdr:cNvPr id="387" name="圖片 386" descr="https://www.slickcharts.com/img/up.gif">
          <a:extLst>
            <a:ext uri="{FF2B5EF4-FFF2-40B4-BE49-F238E27FC236}">
              <a16:creationId xmlns:a16="http://schemas.microsoft.com/office/drawing/2014/main" id="{FE20A79D-79E1-44F0-BDB1-EAB39515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860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88900</xdr:colOff>
      <xdr:row>346</xdr:row>
      <xdr:rowOff>50800</xdr:rowOff>
    </xdr:to>
    <xdr:pic>
      <xdr:nvPicPr>
        <xdr:cNvPr id="388" name="圖片 387" descr="https://www.slickcharts.com/img/up.gif">
          <a:extLst>
            <a:ext uri="{FF2B5EF4-FFF2-40B4-BE49-F238E27FC236}">
              <a16:creationId xmlns:a16="http://schemas.microsoft.com/office/drawing/2014/main" id="{2B677631-5B71-4077-8139-8C91346E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880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88900</xdr:colOff>
      <xdr:row>347</xdr:row>
      <xdr:rowOff>50800</xdr:rowOff>
    </xdr:to>
    <xdr:pic>
      <xdr:nvPicPr>
        <xdr:cNvPr id="389" name="圖片 388" descr="https://www.slickcharts.com/img/up.gif">
          <a:extLst>
            <a:ext uri="{FF2B5EF4-FFF2-40B4-BE49-F238E27FC236}">
              <a16:creationId xmlns:a16="http://schemas.microsoft.com/office/drawing/2014/main" id="{BA063AF8-B2C6-4862-AE95-F6A6C3D5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900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88900</xdr:colOff>
      <xdr:row>348</xdr:row>
      <xdr:rowOff>50800</xdr:rowOff>
    </xdr:to>
    <xdr:pic>
      <xdr:nvPicPr>
        <xdr:cNvPr id="390" name="圖片 389" descr="https://www.slickcharts.com/img/up.gif">
          <a:extLst>
            <a:ext uri="{FF2B5EF4-FFF2-40B4-BE49-F238E27FC236}">
              <a16:creationId xmlns:a16="http://schemas.microsoft.com/office/drawing/2014/main" id="{26DA09C4-4DEF-47F5-A9EE-BAF03694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920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88900</xdr:colOff>
      <xdr:row>349</xdr:row>
      <xdr:rowOff>50800</xdr:rowOff>
    </xdr:to>
    <xdr:pic>
      <xdr:nvPicPr>
        <xdr:cNvPr id="391" name="圖片 390" descr="https://www.slickcharts.com/img/up.gif">
          <a:extLst>
            <a:ext uri="{FF2B5EF4-FFF2-40B4-BE49-F238E27FC236}">
              <a16:creationId xmlns:a16="http://schemas.microsoft.com/office/drawing/2014/main" id="{A16701BE-C06A-4EF1-BAAA-720E8AB47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941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88900</xdr:colOff>
      <xdr:row>350</xdr:row>
      <xdr:rowOff>50800</xdr:rowOff>
    </xdr:to>
    <xdr:pic>
      <xdr:nvPicPr>
        <xdr:cNvPr id="392" name="圖片 391" descr="https://www.slickcharts.com/img/up.gif">
          <a:extLst>
            <a:ext uri="{FF2B5EF4-FFF2-40B4-BE49-F238E27FC236}">
              <a16:creationId xmlns:a16="http://schemas.microsoft.com/office/drawing/2014/main" id="{48D72C8B-B0EC-49A4-826F-ED2164812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961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88900</xdr:colOff>
      <xdr:row>351</xdr:row>
      <xdr:rowOff>50800</xdr:rowOff>
    </xdr:to>
    <xdr:pic>
      <xdr:nvPicPr>
        <xdr:cNvPr id="393" name="圖片 392" descr="https://www.slickcharts.com/img/up.gif">
          <a:extLst>
            <a:ext uri="{FF2B5EF4-FFF2-40B4-BE49-F238E27FC236}">
              <a16:creationId xmlns:a16="http://schemas.microsoft.com/office/drawing/2014/main" id="{415A21CA-B198-4351-81F6-EA2819B19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7981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88900</xdr:colOff>
      <xdr:row>352</xdr:row>
      <xdr:rowOff>50800</xdr:rowOff>
    </xdr:to>
    <xdr:pic>
      <xdr:nvPicPr>
        <xdr:cNvPr id="394" name="圖片 393" descr="https://www.slickcharts.com/img/up.gif">
          <a:extLst>
            <a:ext uri="{FF2B5EF4-FFF2-40B4-BE49-F238E27FC236}">
              <a16:creationId xmlns:a16="http://schemas.microsoft.com/office/drawing/2014/main" id="{EFA3E9FC-9391-407E-B458-984B7C0AA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002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88900</xdr:colOff>
      <xdr:row>353</xdr:row>
      <xdr:rowOff>50800</xdr:rowOff>
    </xdr:to>
    <xdr:pic>
      <xdr:nvPicPr>
        <xdr:cNvPr id="395" name="圖片 394" descr="https://www.slickcharts.com/img/up.gif">
          <a:extLst>
            <a:ext uri="{FF2B5EF4-FFF2-40B4-BE49-F238E27FC236}">
              <a16:creationId xmlns:a16="http://schemas.microsoft.com/office/drawing/2014/main" id="{F26ACDD9-D240-4EAD-B3F7-E7BD28912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022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88900</xdr:colOff>
      <xdr:row>354</xdr:row>
      <xdr:rowOff>50800</xdr:rowOff>
    </xdr:to>
    <xdr:pic>
      <xdr:nvPicPr>
        <xdr:cNvPr id="396" name="圖片 395" descr="https://www.slickcharts.com/img/up.gif">
          <a:extLst>
            <a:ext uri="{FF2B5EF4-FFF2-40B4-BE49-F238E27FC236}">
              <a16:creationId xmlns:a16="http://schemas.microsoft.com/office/drawing/2014/main" id="{E32AECA1-271D-4A81-81A3-15D87C453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042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88900</xdr:colOff>
      <xdr:row>355</xdr:row>
      <xdr:rowOff>50800</xdr:rowOff>
    </xdr:to>
    <xdr:pic>
      <xdr:nvPicPr>
        <xdr:cNvPr id="397" name="圖片 396" descr="https://www.slickcharts.com/img/up.gif">
          <a:extLst>
            <a:ext uri="{FF2B5EF4-FFF2-40B4-BE49-F238E27FC236}">
              <a16:creationId xmlns:a16="http://schemas.microsoft.com/office/drawing/2014/main" id="{0A49647E-B588-46F0-B226-F319E967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063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88900</xdr:colOff>
      <xdr:row>356</xdr:row>
      <xdr:rowOff>50800</xdr:rowOff>
    </xdr:to>
    <xdr:pic>
      <xdr:nvPicPr>
        <xdr:cNvPr id="398" name="圖片 397" descr="https://www.slickcharts.com/img/up.gif">
          <a:extLst>
            <a:ext uri="{FF2B5EF4-FFF2-40B4-BE49-F238E27FC236}">
              <a16:creationId xmlns:a16="http://schemas.microsoft.com/office/drawing/2014/main" id="{D2FDDA1D-C781-4995-BF0F-ACD4B184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083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88900</xdr:colOff>
      <xdr:row>357</xdr:row>
      <xdr:rowOff>50800</xdr:rowOff>
    </xdr:to>
    <xdr:pic>
      <xdr:nvPicPr>
        <xdr:cNvPr id="399" name="圖片 398" descr="https://www.slickcharts.com/img/up.gif">
          <a:extLst>
            <a:ext uri="{FF2B5EF4-FFF2-40B4-BE49-F238E27FC236}">
              <a16:creationId xmlns:a16="http://schemas.microsoft.com/office/drawing/2014/main" id="{99895531-6BE2-44FD-B983-A98CBD059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103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88900</xdr:colOff>
      <xdr:row>358</xdr:row>
      <xdr:rowOff>50800</xdr:rowOff>
    </xdr:to>
    <xdr:pic>
      <xdr:nvPicPr>
        <xdr:cNvPr id="400" name="圖片 399" descr="https://www.slickcharts.com/img/up.gif">
          <a:extLst>
            <a:ext uri="{FF2B5EF4-FFF2-40B4-BE49-F238E27FC236}">
              <a16:creationId xmlns:a16="http://schemas.microsoft.com/office/drawing/2014/main" id="{31910FA0-C423-4579-9FE1-BCAEB82A4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124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88900</xdr:colOff>
      <xdr:row>359</xdr:row>
      <xdr:rowOff>50800</xdr:rowOff>
    </xdr:to>
    <xdr:pic>
      <xdr:nvPicPr>
        <xdr:cNvPr id="401" name="圖片 400" descr="https://www.slickcharts.com/img/up.gif">
          <a:extLst>
            <a:ext uri="{FF2B5EF4-FFF2-40B4-BE49-F238E27FC236}">
              <a16:creationId xmlns:a16="http://schemas.microsoft.com/office/drawing/2014/main" id="{FE79495B-0C76-4EB5-9EDA-96AA09DBF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144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88900</xdr:colOff>
      <xdr:row>360</xdr:row>
      <xdr:rowOff>50800</xdr:rowOff>
    </xdr:to>
    <xdr:pic>
      <xdr:nvPicPr>
        <xdr:cNvPr id="402" name="圖片 401" descr="https://www.slickcharts.com/img/up.gif">
          <a:extLst>
            <a:ext uri="{FF2B5EF4-FFF2-40B4-BE49-F238E27FC236}">
              <a16:creationId xmlns:a16="http://schemas.microsoft.com/office/drawing/2014/main" id="{240A98D6-CFDB-4F1A-901A-8255A85F7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164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88900</xdr:colOff>
      <xdr:row>361</xdr:row>
      <xdr:rowOff>50800</xdr:rowOff>
    </xdr:to>
    <xdr:pic>
      <xdr:nvPicPr>
        <xdr:cNvPr id="403" name="圖片 402" descr="https://www.slickcharts.com/img/up.gif">
          <a:extLst>
            <a:ext uri="{FF2B5EF4-FFF2-40B4-BE49-F238E27FC236}">
              <a16:creationId xmlns:a16="http://schemas.microsoft.com/office/drawing/2014/main" id="{40CCEAA1-CBF4-40F2-BC1C-7B1E386F4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185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88900</xdr:colOff>
      <xdr:row>362</xdr:row>
      <xdr:rowOff>50800</xdr:rowOff>
    </xdr:to>
    <xdr:pic>
      <xdr:nvPicPr>
        <xdr:cNvPr id="404" name="圖片 403" descr="https://www.slickcharts.com/img/up.gif">
          <a:extLst>
            <a:ext uri="{FF2B5EF4-FFF2-40B4-BE49-F238E27FC236}">
              <a16:creationId xmlns:a16="http://schemas.microsoft.com/office/drawing/2014/main" id="{C3BD3C6D-872B-4DBD-B5E6-90728A8A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205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88900</xdr:colOff>
      <xdr:row>363</xdr:row>
      <xdr:rowOff>50800</xdr:rowOff>
    </xdr:to>
    <xdr:pic>
      <xdr:nvPicPr>
        <xdr:cNvPr id="405" name="圖片 404" descr="https://www.slickcharts.com/img/up.gif">
          <a:extLst>
            <a:ext uri="{FF2B5EF4-FFF2-40B4-BE49-F238E27FC236}">
              <a16:creationId xmlns:a16="http://schemas.microsoft.com/office/drawing/2014/main" id="{9B7B64C8-8841-4291-BCE6-C28AC890C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225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88900</xdr:colOff>
      <xdr:row>364</xdr:row>
      <xdr:rowOff>50800</xdr:rowOff>
    </xdr:to>
    <xdr:pic>
      <xdr:nvPicPr>
        <xdr:cNvPr id="406" name="圖片 405" descr="https://www.slickcharts.com/img/up.gif">
          <a:extLst>
            <a:ext uri="{FF2B5EF4-FFF2-40B4-BE49-F238E27FC236}">
              <a16:creationId xmlns:a16="http://schemas.microsoft.com/office/drawing/2014/main" id="{860D5F30-B81A-4597-8D43-900B142F6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246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88900</xdr:colOff>
      <xdr:row>365</xdr:row>
      <xdr:rowOff>50800</xdr:rowOff>
    </xdr:to>
    <xdr:pic>
      <xdr:nvPicPr>
        <xdr:cNvPr id="407" name="圖片 406" descr="https://www.slickcharts.com/img/up.gif">
          <a:extLst>
            <a:ext uri="{FF2B5EF4-FFF2-40B4-BE49-F238E27FC236}">
              <a16:creationId xmlns:a16="http://schemas.microsoft.com/office/drawing/2014/main" id="{8503BA6B-62F3-4FE3-82AC-A32E8593E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266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88900</xdr:colOff>
      <xdr:row>366</xdr:row>
      <xdr:rowOff>50800</xdr:rowOff>
    </xdr:to>
    <xdr:pic>
      <xdr:nvPicPr>
        <xdr:cNvPr id="408" name="圖片 407" descr="https://www.slickcharts.com/img/up.gif">
          <a:extLst>
            <a:ext uri="{FF2B5EF4-FFF2-40B4-BE49-F238E27FC236}">
              <a16:creationId xmlns:a16="http://schemas.microsoft.com/office/drawing/2014/main" id="{F30AF294-27DF-4986-875E-C57A0A241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286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88900</xdr:colOff>
      <xdr:row>367</xdr:row>
      <xdr:rowOff>50800</xdr:rowOff>
    </xdr:to>
    <xdr:pic>
      <xdr:nvPicPr>
        <xdr:cNvPr id="409" name="圖片 408" descr="https://www.slickcharts.com/img/up.gif">
          <a:extLst>
            <a:ext uri="{FF2B5EF4-FFF2-40B4-BE49-F238E27FC236}">
              <a16:creationId xmlns:a16="http://schemas.microsoft.com/office/drawing/2014/main" id="{FCB05F31-4689-4F70-8170-3365746F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307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88900</xdr:colOff>
      <xdr:row>368</xdr:row>
      <xdr:rowOff>50800</xdr:rowOff>
    </xdr:to>
    <xdr:pic>
      <xdr:nvPicPr>
        <xdr:cNvPr id="410" name="圖片 409" descr="https://www.slickcharts.com/img/up.gif">
          <a:extLst>
            <a:ext uri="{FF2B5EF4-FFF2-40B4-BE49-F238E27FC236}">
              <a16:creationId xmlns:a16="http://schemas.microsoft.com/office/drawing/2014/main" id="{5F4F9A32-6786-4F22-BB85-98A56A894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327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88900</xdr:colOff>
      <xdr:row>369</xdr:row>
      <xdr:rowOff>50800</xdr:rowOff>
    </xdr:to>
    <xdr:pic>
      <xdr:nvPicPr>
        <xdr:cNvPr id="411" name="圖片 410" descr="https://www.slickcharts.com/img/up.gif">
          <a:extLst>
            <a:ext uri="{FF2B5EF4-FFF2-40B4-BE49-F238E27FC236}">
              <a16:creationId xmlns:a16="http://schemas.microsoft.com/office/drawing/2014/main" id="{B1F64B8B-680D-46F6-AC7A-3C725C58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347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88900</xdr:colOff>
      <xdr:row>370</xdr:row>
      <xdr:rowOff>50800</xdr:rowOff>
    </xdr:to>
    <xdr:pic>
      <xdr:nvPicPr>
        <xdr:cNvPr id="412" name="圖片 411" descr="https://www.slickcharts.com/img/up.gif">
          <a:extLst>
            <a:ext uri="{FF2B5EF4-FFF2-40B4-BE49-F238E27FC236}">
              <a16:creationId xmlns:a16="http://schemas.microsoft.com/office/drawing/2014/main" id="{FE0CEFD0-EEB9-4158-8152-3FD4436DF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368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88900</xdr:colOff>
      <xdr:row>371</xdr:row>
      <xdr:rowOff>50800</xdr:rowOff>
    </xdr:to>
    <xdr:pic>
      <xdr:nvPicPr>
        <xdr:cNvPr id="413" name="圖片 412" descr="https://www.slickcharts.com/img/up.gif">
          <a:extLst>
            <a:ext uri="{FF2B5EF4-FFF2-40B4-BE49-F238E27FC236}">
              <a16:creationId xmlns:a16="http://schemas.microsoft.com/office/drawing/2014/main" id="{C355E8CF-516B-4437-ACD2-E90940B60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388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88900</xdr:colOff>
      <xdr:row>372</xdr:row>
      <xdr:rowOff>50800</xdr:rowOff>
    </xdr:to>
    <xdr:pic>
      <xdr:nvPicPr>
        <xdr:cNvPr id="414" name="圖片 413" descr="https://www.slickcharts.com/img/up.gif">
          <a:extLst>
            <a:ext uri="{FF2B5EF4-FFF2-40B4-BE49-F238E27FC236}">
              <a16:creationId xmlns:a16="http://schemas.microsoft.com/office/drawing/2014/main" id="{EB513A06-4DBD-434E-9BB4-EE1BE273A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408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88900</xdr:colOff>
      <xdr:row>373</xdr:row>
      <xdr:rowOff>50800</xdr:rowOff>
    </xdr:to>
    <xdr:pic>
      <xdr:nvPicPr>
        <xdr:cNvPr id="415" name="圖片 414" descr="https://www.slickcharts.com/img/up.gif">
          <a:extLst>
            <a:ext uri="{FF2B5EF4-FFF2-40B4-BE49-F238E27FC236}">
              <a16:creationId xmlns:a16="http://schemas.microsoft.com/office/drawing/2014/main" id="{911802EF-E329-41D7-86C5-DEE31E761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428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88900</xdr:colOff>
      <xdr:row>374</xdr:row>
      <xdr:rowOff>50800</xdr:rowOff>
    </xdr:to>
    <xdr:pic>
      <xdr:nvPicPr>
        <xdr:cNvPr id="416" name="圖片 415" descr="https://www.slickcharts.com/img/up.gif">
          <a:extLst>
            <a:ext uri="{FF2B5EF4-FFF2-40B4-BE49-F238E27FC236}">
              <a16:creationId xmlns:a16="http://schemas.microsoft.com/office/drawing/2014/main" id="{214D4C54-886C-4F7D-85E7-C233A3D3B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449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88900</xdr:colOff>
      <xdr:row>375</xdr:row>
      <xdr:rowOff>50800</xdr:rowOff>
    </xdr:to>
    <xdr:pic>
      <xdr:nvPicPr>
        <xdr:cNvPr id="417" name="圖片 416" descr="https://www.slickcharts.com/img/up.gif">
          <a:extLst>
            <a:ext uri="{FF2B5EF4-FFF2-40B4-BE49-F238E27FC236}">
              <a16:creationId xmlns:a16="http://schemas.microsoft.com/office/drawing/2014/main" id="{A8E6B9B5-DA41-4402-97BB-0742C4A4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469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88900</xdr:colOff>
      <xdr:row>376</xdr:row>
      <xdr:rowOff>50800</xdr:rowOff>
    </xdr:to>
    <xdr:pic>
      <xdr:nvPicPr>
        <xdr:cNvPr id="418" name="圖片 417" descr="https://www.slickcharts.com/img/up.gif">
          <a:extLst>
            <a:ext uri="{FF2B5EF4-FFF2-40B4-BE49-F238E27FC236}">
              <a16:creationId xmlns:a16="http://schemas.microsoft.com/office/drawing/2014/main" id="{E16E8A69-EE8D-4EA2-82CF-05F53E2F8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489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88900</xdr:colOff>
      <xdr:row>377</xdr:row>
      <xdr:rowOff>50800</xdr:rowOff>
    </xdr:to>
    <xdr:pic>
      <xdr:nvPicPr>
        <xdr:cNvPr id="419" name="圖片 418" descr="https://www.slickcharts.com/img/up.gif">
          <a:extLst>
            <a:ext uri="{FF2B5EF4-FFF2-40B4-BE49-F238E27FC236}">
              <a16:creationId xmlns:a16="http://schemas.microsoft.com/office/drawing/2014/main" id="{DB6A3083-71EA-4DF6-B12F-CB924FD10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510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88900</xdr:colOff>
      <xdr:row>378</xdr:row>
      <xdr:rowOff>50800</xdr:rowOff>
    </xdr:to>
    <xdr:pic>
      <xdr:nvPicPr>
        <xdr:cNvPr id="420" name="圖片 419" descr="https://www.slickcharts.com/img/up.gif">
          <a:extLst>
            <a:ext uri="{FF2B5EF4-FFF2-40B4-BE49-F238E27FC236}">
              <a16:creationId xmlns:a16="http://schemas.microsoft.com/office/drawing/2014/main" id="{5974263A-A86F-489D-8451-3A1A454F0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530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88900</xdr:colOff>
      <xdr:row>379</xdr:row>
      <xdr:rowOff>50800</xdr:rowOff>
    </xdr:to>
    <xdr:pic>
      <xdr:nvPicPr>
        <xdr:cNvPr id="421" name="圖片 420" descr="https://www.slickcharts.com/img/up.gif">
          <a:extLst>
            <a:ext uri="{FF2B5EF4-FFF2-40B4-BE49-F238E27FC236}">
              <a16:creationId xmlns:a16="http://schemas.microsoft.com/office/drawing/2014/main" id="{73B14F96-1D5D-49DC-B899-601E8CD8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550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88900</xdr:colOff>
      <xdr:row>380</xdr:row>
      <xdr:rowOff>50800</xdr:rowOff>
    </xdr:to>
    <xdr:pic>
      <xdr:nvPicPr>
        <xdr:cNvPr id="422" name="圖片 421" descr="https://www.slickcharts.com/img/up.gif">
          <a:extLst>
            <a:ext uri="{FF2B5EF4-FFF2-40B4-BE49-F238E27FC236}">
              <a16:creationId xmlns:a16="http://schemas.microsoft.com/office/drawing/2014/main" id="{5649A9B1-96E6-499D-9C5A-8132E9723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571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88900</xdr:colOff>
      <xdr:row>83</xdr:row>
      <xdr:rowOff>50800</xdr:rowOff>
    </xdr:to>
    <xdr:pic>
      <xdr:nvPicPr>
        <xdr:cNvPr id="423" name="圖片 422" descr="https://www.slickcharts.com/img/up.gif">
          <a:extLst>
            <a:ext uri="{FF2B5EF4-FFF2-40B4-BE49-F238E27FC236}">
              <a16:creationId xmlns:a16="http://schemas.microsoft.com/office/drawing/2014/main" id="{584CB7A7-BD8E-4F1A-AD31-DF72953F8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591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88900</xdr:colOff>
      <xdr:row>381</xdr:row>
      <xdr:rowOff>50800</xdr:rowOff>
    </xdr:to>
    <xdr:pic>
      <xdr:nvPicPr>
        <xdr:cNvPr id="424" name="圖片 423" descr="https://www.slickcharts.com/img/up.gif">
          <a:extLst>
            <a:ext uri="{FF2B5EF4-FFF2-40B4-BE49-F238E27FC236}">
              <a16:creationId xmlns:a16="http://schemas.microsoft.com/office/drawing/2014/main" id="{0B104B29-A10F-4458-9338-9419CDF4F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611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88900</xdr:colOff>
      <xdr:row>382</xdr:row>
      <xdr:rowOff>50800</xdr:rowOff>
    </xdr:to>
    <xdr:pic>
      <xdr:nvPicPr>
        <xdr:cNvPr id="425" name="圖片 424" descr="https://www.slickcharts.com/img/down.gif">
          <a:extLst>
            <a:ext uri="{FF2B5EF4-FFF2-40B4-BE49-F238E27FC236}">
              <a16:creationId xmlns:a16="http://schemas.microsoft.com/office/drawing/2014/main" id="{028EB9FF-8C58-45E2-9908-7C78F5C7C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632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88900</xdr:colOff>
      <xdr:row>383</xdr:row>
      <xdr:rowOff>50800</xdr:rowOff>
    </xdr:to>
    <xdr:pic>
      <xdr:nvPicPr>
        <xdr:cNvPr id="426" name="圖片 425" descr="https://www.slickcharts.com/img/up.gif">
          <a:extLst>
            <a:ext uri="{FF2B5EF4-FFF2-40B4-BE49-F238E27FC236}">
              <a16:creationId xmlns:a16="http://schemas.microsoft.com/office/drawing/2014/main" id="{51E137D6-FAE9-4BCF-8ACE-3EBC8DB0F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652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88900</xdr:colOff>
      <xdr:row>384</xdr:row>
      <xdr:rowOff>50800</xdr:rowOff>
    </xdr:to>
    <xdr:pic>
      <xdr:nvPicPr>
        <xdr:cNvPr id="427" name="圖片 426" descr="https://www.slickcharts.com/img/up.gif">
          <a:extLst>
            <a:ext uri="{FF2B5EF4-FFF2-40B4-BE49-F238E27FC236}">
              <a16:creationId xmlns:a16="http://schemas.microsoft.com/office/drawing/2014/main" id="{4054A066-5088-4FF6-85E2-DF49B690F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672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88900</xdr:colOff>
      <xdr:row>385</xdr:row>
      <xdr:rowOff>50800</xdr:rowOff>
    </xdr:to>
    <xdr:pic>
      <xdr:nvPicPr>
        <xdr:cNvPr id="428" name="圖片 427" descr="https://www.slickcharts.com/img/up.gif">
          <a:extLst>
            <a:ext uri="{FF2B5EF4-FFF2-40B4-BE49-F238E27FC236}">
              <a16:creationId xmlns:a16="http://schemas.microsoft.com/office/drawing/2014/main" id="{EE4E3464-20EF-4C35-B22C-4E262AF9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693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88900</xdr:colOff>
      <xdr:row>386</xdr:row>
      <xdr:rowOff>50800</xdr:rowOff>
    </xdr:to>
    <xdr:pic>
      <xdr:nvPicPr>
        <xdr:cNvPr id="429" name="圖片 428" descr="https://www.slickcharts.com/img/up.gif">
          <a:extLst>
            <a:ext uri="{FF2B5EF4-FFF2-40B4-BE49-F238E27FC236}">
              <a16:creationId xmlns:a16="http://schemas.microsoft.com/office/drawing/2014/main" id="{B3E4C0A8-3B9C-4C85-93FC-E4C8127CC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713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88900</xdr:colOff>
      <xdr:row>387</xdr:row>
      <xdr:rowOff>50800</xdr:rowOff>
    </xdr:to>
    <xdr:pic>
      <xdr:nvPicPr>
        <xdr:cNvPr id="430" name="圖片 429" descr="https://www.slickcharts.com/img/up.gif">
          <a:extLst>
            <a:ext uri="{FF2B5EF4-FFF2-40B4-BE49-F238E27FC236}">
              <a16:creationId xmlns:a16="http://schemas.microsoft.com/office/drawing/2014/main" id="{1CB43A10-5DB2-41D4-A76D-3A73D9FC8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733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88900</xdr:colOff>
      <xdr:row>388</xdr:row>
      <xdr:rowOff>50800</xdr:rowOff>
    </xdr:to>
    <xdr:pic>
      <xdr:nvPicPr>
        <xdr:cNvPr id="431" name="圖片 430" descr="https://www.slickcharts.com/img/up.gif">
          <a:extLst>
            <a:ext uri="{FF2B5EF4-FFF2-40B4-BE49-F238E27FC236}">
              <a16:creationId xmlns:a16="http://schemas.microsoft.com/office/drawing/2014/main" id="{D1AB80FA-6483-4C0C-BA7A-79637C99A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754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88900</xdr:colOff>
      <xdr:row>389</xdr:row>
      <xdr:rowOff>50800</xdr:rowOff>
    </xdr:to>
    <xdr:pic>
      <xdr:nvPicPr>
        <xdr:cNvPr id="432" name="圖片 431" descr="https://www.slickcharts.com/img/up.gif">
          <a:extLst>
            <a:ext uri="{FF2B5EF4-FFF2-40B4-BE49-F238E27FC236}">
              <a16:creationId xmlns:a16="http://schemas.microsoft.com/office/drawing/2014/main" id="{36945168-0793-4E22-837B-9241D65BE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774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88900</xdr:colOff>
      <xdr:row>390</xdr:row>
      <xdr:rowOff>50800</xdr:rowOff>
    </xdr:to>
    <xdr:pic>
      <xdr:nvPicPr>
        <xdr:cNvPr id="433" name="圖片 432" descr="https://www.slickcharts.com/img/up.gif">
          <a:extLst>
            <a:ext uri="{FF2B5EF4-FFF2-40B4-BE49-F238E27FC236}">
              <a16:creationId xmlns:a16="http://schemas.microsoft.com/office/drawing/2014/main" id="{EA44A717-619B-4B4C-9306-EAB876DD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794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88900</xdr:colOff>
      <xdr:row>391</xdr:row>
      <xdr:rowOff>50800</xdr:rowOff>
    </xdr:to>
    <xdr:pic>
      <xdr:nvPicPr>
        <xdr:cNvPr id="434" name="圖片 433" descr="https://www.slickcharts.com/img/up.gif">
          <a:extLst>
            <a:ext uri="{FF2B5EF4-FFF2-40B4-BE49-F238E27FC236}">
              <a16:creationId xmlns:a16="http://schemas.microsoft.com/office/drawing/2014/main" id="{95E7EC75-3C43-44B5-8782-6EC347411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815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88900</xdr:colOff>
      <xdr:row>392</xdr:row>
      <xdr:rowOff>50800</xdr:rowOff>
    </xdr:to>
    <xdr:pic>
      <xdr:nvPicPr>
        <xdr:cNvPr id="435" name="圖片 434" descr="https://www.slickcharts.com/img/up.gif">
          <a:extLst>
            <a:ext uri="{FF2B5EF4-FFF2-40B4-BE49-F238E27FC236}">
              <a16:creationId xmlns:a16="http://schemas.microsoft.com/office/drawing/2014/main" id="{5500147F-FD40-4B0A-8DAC-0A03DCDD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835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88900</xdr:colOff>
      <xdr:row>393</xdr:row>
      <xdr:rowOff>50800</xdr:rowOff>
    </xdr:to>
    <xdr:pic>
      <xdr:nvPicPr>
        <xdr:cNvPr id="436" name="圖片 435" descr="https://www.slickcharts.com/img/up.gif">
          <a:extLst>
            <a:ext uri="{FF2B5EF4-FFF2-40B4-BE49-F238E27FC236}">
              <a16:creationId xmlns:a16="http://schemas.microsoft.com/office/drawing/2014/main" id="{C4D30252-5E47-4E93-96F5-A79959213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855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88900</xdr:colOff>
      <xdr:row>394</xdr:row>
      <xdr:rowOff>50800</xdr:rowOff>
    </xdr:to>
    <xdr:pic>
      <xdr:nvPicPr>
        <xdr:cNvPr id="437" name="圖片 436" descr="https://www.slickcharts.com/img/up.gif">
          <a:extLst>
            <a:ext uri="{FF2B5EF4-FFF2-40B4-BE49-F238E27FC236}">
              <a16:creationId xmlns:a16="http://schemas.microsoft.com/office/drawing/2014/main" id="{95936116-29E6-4386-B03D-34C6F8ADD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876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88900</xdr:colOff>
      <xdr:row>395</xdr:row>
      <xdr:rowOff>50800</xdr:rowOff>
    </xdr:to>
    <xdr:pic>
      <xdr:nvPicPr>
        <xdr:cNvPr id="438" name="圖片 437" descr="https://www.slickcharts.com/img/up.gif">
          <a:extLst>
            <a:ext uri="{FF2B5EF4-FFF2-40B4-BE49-F238E27FC236}">
              <a16:creationId xmlns:a16="http://schemas.microsoft.com/office/drawing/2014/main" id="{DBC880FB-E93A-4E7B-9E53-CCEDCFC4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896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88900</xdr:colOff>
      <xdr:row>396</xdr:row>
      <xdr:rowOff>50800</xdr:rowOff>
    </xdr:to>
    <xdr:pic>
      <xdr:nvPicPr>
        <xdr:cNvPr id="439" name="圖片 438" descr="https://www.slickcharts.com/img/up.gif">
          <a:extLst>
            <a:ext uri="{FF2B5EF4-FFF2-40B4-BE49-F238E27FC236}">
              <a16:creationId xmlns:a16="http://schemas.microsoft.com/office/drawing/2014/main" id="{A23990CC-290A-4D97-A3A2-1971F9AFB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916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88900</xdr:colOff>
      <xdr:row>397</xdr:row>
      <xdr:rowOff>50800</xdr:rowOff>
    </xdr:to>
    <xdr:pic>
      <xdr:nvPicPr>
        <xdr:cNvPr id="440" name="圖片 439" descr="https://www.slickcharts.com/img/up.gif">
          <a:extLst>
            <a:ext uri="{FF2B5EF4-FFF2-40B4-BE49-F238E27FC236}">
              <a16:creationId xmlns:a16="http://schemas.microsoft.com/office/drawing/2014/main" id="{1CAA14BB-442A-4F39-8573-FA48FFCBC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936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88900</xdr:colOff>
      <xdr:row>398</xdr:row>
      <xdr:rowOff>50800</xdr:rowOff>
    </xdr:to>
    <xdr:pic>
      <xdr:nvPicPr>
        <xdr:cNvPr id="441" name="圖片 440" descr="https://www.slickcharts.com/img/down.gif">
          <a:extLst>
            <a:ext uri="{FF2B5EF4-FFF2-40B4-BE49-F238E27FC236}">
              <a16:creationId xmlns:a16="http://schemas.microsoft.com/office/drawing/2014/main" id="{37655517-9BA8-4DF6-A4D5-B8097ED42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957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88900</xdr:colOff>
      <xdr:row>399</xdr:row>
      <xdr:rowOff>50800</xdr:rowOff>
    </xdr:to>
    <xdr:pic>
      <xdr:nvPicPr>
        <xdr:cNvPr id="442" name="圖片 441" descr="https://www.slickcharts.com/img/up.gif">
          <a:extLst>
            <a:ext uri="{FF2B5EF4-FFF2-40B4-BE49-F238E27FC236}">
              <a16:creationId xmlns:a16="http://schemas.microsoft.com/office/drawing/2014/main" id="{8D6A7A95-5593-4AF0-A26C-3852A7761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977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88900</xdr:colOff>
      <xdr:row>400</xdr:row>
      <xdr:rowOff>50800</xdr:rowOff>
    </xdr:to>
    <xdr:pic>
      <xdr:nvPicPr>
        <xdr:cNvPr id="443" name="圖片 442" descr="https://www.slickcharts.com/img/up.gif">
          <a:extLst>
            <a:ext uri="{FF2B5EF4-FFF2-40B4-BE49-F238E27FC236}">
              <a16:creationId xmlns:a16="http://schemas.microsoft.com/office/drawing/2014/main" id="{2761626C-EFBB-4B5C-9695-011689EE8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8997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88900</xdr:colOff>
      <xdr:row>401</xdr:row>
      <xdr:rowOff>50800</xdr:rowOff>
    </xdr:to>
    <xdr:pic>
      <xdr:nvPicPr>
        <xdr:cNvPr id="444" name="圖片 443" descr="https://www.slickcharts.com/img/up.gif">
          <a:extLst>
            <a:ext uri="{FF2B5EF4-FFF2-40B4-BE49-F238E27FC236}">
              <a16:creationId xmlns:a16="http://schemas.microsoft.com/office/drawing/2014/main" id="{1329F788-8E81-4B43-AE4C-63D2D394C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018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88900</xdr:colOff>
      <xdr:row>402</xdr:row>
      <xdr:rowOff>50800</xdr:rowOff>
    </xdr:to>
    <xdr:pic>
      <xdr:nvPicPr>
        <xdr:cNvPr id="445" name="圖片 444" descr="https://www.slickcharts.com/img/up.gif">
          <a:extLst>
            <a:ext uri="{FF2B5EF4-FFF2-40B4-BE49-F238E27FC236}">
              <a16:creationId xmlns:a16="http://schemas.microsoft.com/office/drawing/2014/main" id="{E1653606-1854-464A-9FD5-CE918F13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038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84</xdr:row>
      <xdr:rowOff>0</xdr:rowOff>
    </xdr:from>
    <xdr:to>
      <xdr:col>7</xdr:col>
      <xdr:colOff>88900</xdr:colOff>
      <xdr:row>84</xdr:row>
      <xdr:rowOff>50800</xdr:rowOff>
    </xdr:to>
    <xdr:pic>
      <xdr:nvPicPr>
        <xdr:cNvPr id="446" name="圖片 445" descr="https://www.slickcharts.com/img/up.gif">
          <a:extLst>
            <a:ext uri="{FF2B5EF4-FFF2-40B4-BE49-F238E27FC236}">
              <a16:creationId xmlns:a16="http://schemas.microsoft.com/office/drawing/2014/main" id="{EC890B87-519F-4D00-B729-4CDFCCC89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058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88900</xdr:colOff>
      <xdr:row>403</xdr:row>
      <xdr:rowOff>50800</xdr:rowOff>
    </xdr:to>
    <xdr:pic>
      <xdr:nvPicPr>
        <xdr:cNvPr id="447" name="圖片 446" descr="https://www.slickcharts.com/img/up.gif">
          <a:extLst>
            <a:ext uri="{FF2B5EF4-FFF2-40B4-BE49-F238E27FC236}">
              <a16:creationId xmlns:a16="http://schemas.microsoft.com/office/drawing/2014/main" id="{17B639DE-E453-4263-885F-EFEF1E941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079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88900</xdr:colOff>
      <xdr:row>404</xdr:row>
      <xdr:rowOff>50800</xdr:rowOff>
    </xdr:to>
    <xdr:pic>
      <xdr:nvPicPr>
        <xdr:cNvPr id="448" name="圖片 447" descr="https://www.slickcharts.com/img/up.gif">
          <a:extLst>
            <a:ext uri="{FF2B5EF4-FFF2-40B4-BE49-F238E27FC236}">
              <a16:creationId xmlns:a16="http://schemas.microsoft.com/office/drawing/2014/main" id="{971A67B1-97BA-4B63-837A-75629B3B8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099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88900</xdr:colOff>
      <xdr:row>405</xdr:row>
      <xdr:rowOff>50800</xdr:rowOff>
    </xdr:to>
    <xdr:pic>
      <xdr:nvPicPr>
        <xdr:cNvPr id="449" name="圖片 448" descr="https://www.slickcharts.com/img/up.gif">
          <a:extLst>
            <a:ext uri="{FF2B5EF4-FFF2-40B4-BE49-F238E27FC236}">
              <a16:creationId xmlns:a16="http://schemas.microsoft.com/office/drawing/2014/main" id="{B7F26FAD-0C89-45EA-B802-A38C40A2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119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88900</xdr:colOff>
      <xdr:row>406</xdr:row>
      <xdr:rowOff>50800</xdr:rowOff>
    </xdr:to>
    <xdr:pic>
      <xdr:nvPicPr>
        <xdr:cNvPr id="450" name="圖片 449" descr="https://www.slickcharts.com/img/up.gif">
          <a:extLst>
            <a:ext uri="{FF2B5EF4-FFF2-40B4-BE49-F238E27FC236}">
              <a16:creationId xmlns:a16="http://schemas.microsoft.com/office/drawing/2014/main" id="{9092EAFE-FB29-4ACA-B340-A7EAA7489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140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88900</xdr:colOff>
      <xdr:row>407</xdr:row>
      <xdr:rowOff>50800</xdr:rowOff>
    </xdr:to>
    <xdr:pic>
      <xdr:nvPicPr>
        <xdr:cNvPr id="451" name="圖片 450" descr="https://www.slickcharts.com/img/up.gif">
          <a:extLst>
            <a:ext uri="{FF2B5EF4-FFF2-40B4-BE49-F238E27FC236}">
              <a16:creationId xmlns:a16="http://schemas.microsoft.com/office/drawing/2014/main" id="{590D9C78-5F01-44AD-B08C-8727B7179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160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88900</xdr:colOff>
      <xdr:row>408</xdr:row>
      <xdr:rowOff>50800</xdr:rowOff>
    </xdr:to>
    <xdr:pic>
      <xdr:nvPicPr>
        <xdr:cNvPr id="452" name="圖片 451" descr="https://www.slickcharts.com/img/up.gif">
          <a:extLst>
            <a:ext uri="{FF2B5EF4-FFF2-40B4-BE49-F238E27FC236}">
              <a16:creationId xmlns:a16="http://schemas.microsoft.com/office/drawing/2014/main" id="{8CFAA5A7-7708-49CE-AF97-947610F77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180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88900</xdr:colOff>
      <xdr:row>409</xdr:row>
      <xdr:rowOff>50800</xdr:rowOff>
    </xdr:to>
    <xdr:pic>
      <xdr:nvPicPr>
        <xdr:cNvPr id="453" name="圖片 452" descr="https://www.slickcharts.com/img/up.gif">
          <a:extLst>
            <a:ext uri="{FF2B5EF4-FFF2-40B4-BE49-F238E27FC236}">
              <a16:creationId xmlns:a16="http://schemas.microsoft.com/office/drawing/2014/main" id="{76CF819E-FF19-4898-A522-6B5C2D59A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201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88900</xdr:colOff>
      <xdr:row>410</xdr:row>
      <xdr:rowOff>50800</xdr:rowOff>
    </xdr:to>
    <xdr:pic>
      <xdr:nvPicPr>
        <xdr:cNvPr id="454" name="圖片 453" descr="https://www.slickcharts.com/img/up.gif">
          <a:extLst>
            <a:ext uri="{FF2B5EF4-FFF2-40B4-BE49-F238E27FC236}">
              <a16:creationId xmlns:a16="http://schemas.microsoft.com/office/drawing/2014/main" id="{EBA0558A-8325-4279-BF5F-F68BFBC64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221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88900</xdr:colOff>
      <xdr:row>411</xdr:row>
      <xdr:rowOff>50800</xdr:rowOff>
    </xdr:to>
    <xdr:pic>
      <xdr:nvPicPr>
        <xdr:cNvPr id="455" name="圖片 454" descr="https://www.slickcharts.com/img/up.gif">
          <a:extLst>
            <a:ext uri="{FF2B5EF4-FFF2-40B4-BE49-F238E27FC236}">
              <a16:creationId xmlns:a16="http://schemas.microsoft.com/office/drawing/2014/main" id="{3242BB11-D129-4CC1-8C24-B674FD168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241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88900</xdr:colOff>
      <xdr:row>412</xdr:row>
      <xdr:rowOff>50800</xdr:rowOff>
    </xdr:to>
    <xdr:pic>
      <xdr:nvPicPr>
        <xdr:cNvPr id="456" name="圖片 455" descr="https://www.slickcharts.com/img/up.gif">
          <a:extLst>
            <a:ext uri="{FF2B5EF4-FFF2-40B4-BE49-F238E27FC236}">
              <a16:creationId xmlns:a16="http://schemas.microsoft.com/office/drawing/2014/main" id="{0DF73084-8A27-47E9-9731-BAAE02DF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262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88900</xdr:colOff>
      <xdr:row>413</xdr:row>
      <xdr:rowOff>50800</xdr:rowOff>
    </xdr:to>
    <xdr:pic>
      <xdr:nvPicPr>
        <xdr:cNvPr id="457" name="圖片 456" descr="https://www.slickcharts.com/img/up.gif">
          <a:extLst>
            <a:ext uri="{FF2B5EF4-FFF2-40B4-BE49-F238E27FC236}">
              <a16:creationId xmlns:a16="http://schemas.microsoft.com/office/drawing/2014/main" id="{1F749594-D0DB-43D9-A106-80E054398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282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88900</xdr:colOff>
      <xdr:row>414</xdr:row>
      <xdr:rowOff>50800</xdr:rowOff>
    </xdr:to>
    <xdr:pic>
      <xdr:nvPicPr>
        <xdr:cNvPr id="458" name="圖片 457" descr="https://www.slickcharts.com/img/up.gif">
          <a:extLst>
            <a:ext uri="{FF2B5EF4-FFF2-40B4-BE49-F238E27FC236}">
              <a16:creationId xmlns:a16="http://schemas.microsoft.com/office/drawing/2014/main" id="{EE51C011-3804-4748-911F-212C04695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302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88900</xdr:colOff>
      <xdr:row>415</xdr:row>
      <xdr:rowOff>50800</xdr:rowOff>
    </xdr:to>
    <xdr:pic>
      <xdr:nvPicPr>
        <xdr:cNvPr id="459" name="圖片 458" descr="https://www.slickcharts.com/img/up.gif">
          <a:extLst>
            <a:ext uri="{FF2B5EF4-FFF2-40B4-BE49-F238E27FC236}">
              <a16:creationId xmlns:a16="http://schemas.microsoft.com/office/drawing/2014/main" id="{4D1BD9F0-AA4B-4119-87F5-A870D2FF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323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88900</xdr:colOff>
      <xdr:row>416</xdr:row>
      <xdr:rowOff>50800</xdr:rowOff>
    </xdr:to>
    <xdr:pic>
      <xdr:nvPicPr>
        <xdr:cNvPr id="460" name="圖片 459" descr="https://www.slickcharts.com/img/up.gif">
          <a:extLst>
            <a:ext uri="{FF2B5EF4-FFF2-40B4-BE49-F238E27FC236}">
              <a16:creationId xmlns:a16="http://schemas.microsoft.com/office/drawing/2014/main" id="{73631B2C-2FF2-4D01-B256-3066B2BDD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343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88900</xdr:colOff>
      <xdr:row>417</xdr:row>
      <xdr:rowOff>50800</xdr:rowOff>
    </xdr:to>
    <xdr:pic>
      <xdr:nvPicPr>
        <xdr:cNvPr id="461" name="圖片 460" descr="https://www.slickcharts.com/img/up.gif">
          <a:extLst>
            <a:ext uri="{FF2B5EF4-FFF2-40B4-BE49-F238E27FC236}">
              <a16:creationId xmlns:a16="http://schemas.microsoft.com/office/drawing/2014/main" id="{E773866F-CA2F-4A80-96E9-33FFBEA2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363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88900</xdr:colOff>
      <xdr:row>418</xdr:row>
      <xdr:rowOff>50800</xdr:rowOff>
    </xdr:to>
    <xdr:pic>
      <xdr:nvPicPr>
        <xdr:cNvPr id="462" name="圖片 461" descr="https://www.slickcharts.com/img/up.gif">
          <a:extLst>
            <a:ext uri="{FF2B5EF4-FFF2-40B4-BE49-F238E27FC236}">
              <a16:creationId xmlns:a16="http://schemas.microsoft.com/office/drawing/2014/main" id="{CADD0BD3-E3F9-4DB1-AEE0-99401D2A7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384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88900</xdr:colOff>
      <xdr:row>419</xdr:row>
      <xdr:rowOff>50800</xdr:rowOff>
    </xdr:to>
    <xdr:pic>
      <xdr:nvPicPr>
        <xdr:cNvPr id="463" name="圖片 462" descr="https://www.slickcharts.com/img/up.gif">
          <a:extLst>
            <a:ext uri="{FF2B5EF4-FFF2-40B4-BE49-F238E27FC236}">
              <a16:creationId xmlns:a16="http://schemas.microsoft.com/office/drawing/2014/main" id="{EDD8E91F-8ABB-4A0A-8143-53AE1771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404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88900</xdr:colOff>
      <xdr:row>1</xdr:row>
      <xdr:rowOff>50800</xdr:rowOff>
    </xdr:to>
    <xdr:pic>
      <xdr:nvPicPr>
        <xdr:cNvPr id="464" name="圖片 463" descr="https://www.slickcharts.com/img/up.gif">
          <a:extLst>
            <a:ext uri="{FF2B5EF4-FFF2-40B4-BE49-F238E27FC236}">
              <a16:creationId xmlns:a16="http://schemas.microsoft.com/office/drawing/2014/main" id="{6A05E0B2-D8D5-4C09-A2E9-6377E2665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424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88900</xdr:colOff>
      <xdr:row>420</xdr:row>
      <xdr:rowOff>50800</xdr:rowOff>
    </xdr:to>
    <xdr:pic>
      <xdr:nvPicPr>
        <xdr:cNvPr id="465" name="圖片 464" descr="https://www.slickcharts.com/img/up.gif">
          <a:extLst>
            <a:ext uri="{FF2B5EF4-FFF2-40B4-BE49-F238E27FC236}">
              <a16:creationId xmlns:a16="http://schemas.microsoft.com/office/drawing/2014/main" id="{D3FD4998-DEE1-4B74-9EFD-FD54538BB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444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88900</xdr:colOff>
      <xdr:row>421</xdr:row>
      <xdr:rowOff>50800</xdr:rowOff>
    </xdr:to>
    <xdr:pic>
      <xdr:nvPicPr>
        <xdr:cNvPr id="466" name="圖片 465" descr="https://www.slickcharts.com/img/up.gif">
          <a:extLst>
            <a:ext uri="{FF2B5EF4-FFF2-40B4-BE49-F238E27FC236}">
              <a16:creationId xmlns:a16="http://schemas.microsoft.com/office/drawing/2014/main" id="{482A105C-7C49-4EAC-AFAC-83B558D04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465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88900</xdr:colOff>
      <xdr:row>422</xdr:row>
      <xdr:rowOff>50800</xdr:rowOff>
    </xdr:to>
    <xdr:pic>
      <xdr:nvPicPr>
        <xdr:cNvPr id="467" name="圖片 466" descr="https://www.slickcharts.com/img/up.gif">
          <a:extLst>
            <a:ext uri="{FF2B5EF4-FFF2-40B4-BE49-F238E27FC236}">
              <a16:creationId xmlns:a16="http://schemas.microsoft.com/office/drawing/2014/main" id="{9D10906D-3239-456D-B3F3-492C3AA2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485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88900</xdr:colOff>
      <xdr:row>423</xdr:row>
      <xdr:rowOff>50800</xdr:rowOff>
    </xdr:to>
    <xdr:pic>
      <xdr:nvPicPr>
        <xdr:cNvPr id="468" name="圖片 467" descr="https://www.slickcharts.com/img/up.gif">
          <a:extLst>
            <a:ext uri="{FF2B5EF4-FFF2-40B4-BE49-F238E27FC236}">
              <a16:creationId xmlns:a16="http://schemas.microsoft.com/office/drawing/2014/main" id="{73C0BF7A-9CF7-45D0-9A81-BD94E8F4A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505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88900</xdr:colOff>
      <xdr:row>424</xdr:row>
      <xdr:rowOff>50800</xdr:rowOff>
    </xdr:to>
    <xdr:pic>
      <xdr:nvPicPr>
        <xdr:cNvPr id="469" name="圖片 468" descr="https://www.slickcharts.com/img/up.gif">
          <a:extLst>
            <a:ext uri="{FF2B5EF4-FFF2-40B4-BE49-F238E27FC236}">
              <a16:creationId xmlns:a16="http://schemas.microsoft.com/office/drawing/2014/main" id="{2E3CEA44-056F-474B-9FC0-A857CBAED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526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88900</xdr:colOff>
      <xdr:row>425</xdr:row>
      <xdr:rowOff>50800</xdr:rowOff>
    </xdr:to>
    <xdr:pic>
      <xdr:nvPicPr>
        <xdr:cNvPr id="470" name="圖片 469" descr="https://www.slickcharts.com/img/up.gif">
          <a:extLst>
            <a:ext uri="{FF2B5EF4-FFF2-40B4-BE49-F238E27FC236}">
              <a16:creationId xmlns:a16="http://schemas.microsoft.com/office/drawing/2014/main" id="{B33C8D1A-AC1D-46E5-9CB6-7CCD61CF3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546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88900</xdr:colOff>
      <xdr:row>426</xdr:row>
      <xdr:rowOff>50800</xdr:rowOff>
    </xdr:to>
    <xdr:pic>
      <xdr:nvPicPr>
        <xdr:cNvPr id="471" name="圖片 470" descr="https://www.slickcharts.com/img/up.gif">
          <a:extLst>
            <a:ext uri="{FF2B5EF4-FFF2-40B4-BE49-F238E27FC236}">
              <a16:creationId xmlns:a16="http://schemas.microsoft.com/office/drawing/2014/main" id="{E91DE7B9-7E11-40EB-8943-A4C00E7A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566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88900</xdr:colOff>
      <xdr:row>427</xdr:row>
      <xdr:rowOff>50800</xdr:rowOff>
    </xdr:to>
    <xdr:pic>
      <xdr:nvPicPr>
        <xdr:cNvPr id="472" name="圖片 471" descr="https://www.slickcharts.com/img/up.gif">
          <a:extLst>
            <a:ext uri="{FF2B5EF4-FFF2-40B4-BE49-F238E27FC236}">
              <a16:creationId xmlns:a16="http://schemas.microsoft.com/office/drawing/2014/main" id="{95FEF22C-1AA0-4B45-99D7-C80F4B804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587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88900</xdr:colOff>
      <xdr:row>428</xdr:row>
      <xdr:rowOff>50800</xdr:rowOff>
    </xdr:to>
    <xdr:pic>
      <xdr:nvPicPr>
        <xdr:cNvPr id="473" name="圖片 472" descr="https://www.slickcharts.com/img/up.gif">
          <a:extLst>
            <a:ext uri="{FF2B5EF4-FFF2-40B4-BE49-F238E27FC236}">
              <a16:creationId xmlns:a16="http://schemas.microsoft.com/office/drawing/2014/main" id="{C62BADAF-21D1-4612-A332-FF9C1C3E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607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88900</xdr:colOff>
      <xdr:row>1</xdr:row>
      <xdr:rowOff>50800</xdr:rowOff>
    </xdr:to>
    <xdr:pic>
      <xdr:nvPicPr>
        <xdr:cNvPr id="474" name="圖片 473" descr="https://www.slickcharts.com/img/up.gif">
          <a:extLst>
            <a:ext uri="{FF2B5EF4-FFF2-40B4-BE49-F238E27FC236}">
              <a16:creationId xmlns:a16="http://schemas.microsoft.com/office/drawing/2014/main" id="{6B921740-B034-44E2-9086-50CBFF851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627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88900</xdr:colOff>
      <xdr:row>429</xdr:row>
      <xdr:rowOff>50800</xdr:rowOff>
    </xdr:to>
    <xdr:pic>
      <xdr:nvPicPr>
        <xdr:cNvPr id="475" name="圖片 474" descr="https://www.slickcharts.com/img/up.gif">
          <a:extLst>
            <a:ext uri="{FF2B5EF4-FFF2-40B4-BE49-F238E27FC236}">
              <a16:creationId xmlns:a16="http://schemas.microsoft.com/office/drawing/2014/main" id="{D8EE7ED3-44DD-4CD7-9C16-873B11605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648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88900</xdr:colOff>
      <xdr:row>430</xdr:row>
      <xdr:rowOff>50800</xdr:rowOff>
    </xdr:to>
    <xdr:pic>
      <xdr:nvPicPr>
        <xdr:cNvPr id="476" name="圖片 475" descr="https://www.slickcharts.com/img/down.gif">
          <a:extLst>
            <a:ext uri="{FF2B5EF4-FFF2-40B4-BE49-F238E27FC236}">
              <a16:creationId xmlns:a16="http://schemas.microsoft.com/office/drawing/2014/main" id="{FCCB483F-C120-4816-BAA4-080230CF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668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88900</xdr:colOff>
      <xdr:row>431</xdr:row>
      <xdr:rowOff>50800</xdr:rowOff>
    </xdr:to>
    <xdr:pic>
      <xdr:nvPicPr>
        <xdr:cNvPr id="477" name="圖片 476" descr="https://www.slickcharts.com/img/up.gif">
          <a:extLst>
            <a:ext uri="{FF2B5EF4-FFF2-40B4-BE49-F238E27FC236}">
              <a16:creationId xmlns:a16="http://schemas.microsoft.com/office/drawing/2014/main" id="{C4F3F07C-1BBD-4623-BF33-C2E794B51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688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88900</xdr:colOff>
      <xdr:row>432</xdr:row>
      <xdr:rowOff>50800</xdr:rowOff>
    </xdr:to>
    <xdr:pic>
      <xdr:nvPicPr>
        <xdr:cNvPr id="478" name="圖片 477" descr="https://www.slickcharts.com/img/up.gif">
          <a:extLst>
            <a:ext uri="{FF2B5EF4-FFF2-40B4-BE49-F238E27FC236}">
              <a16:creationId xmlns:a16="http://schemas.microsoft.com/office/drawing/2014/main" id="{66774940-1B00-49A5-A0B2-03706C049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709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88900</xdr:colOff>
      <xdr:row>85</xdr:row>
      <xdr:rowOff>50800</xdr:rowOff>
    </xdr:to>
    <xdr:pic>
      <xdr:nvPicPr>
        <xdr:cNvPr id="479" name="圖片 478" descr="https://www.slickcharts.com/img/up.gif">
          <a:extLst>
            <a:ext uri="{FF2B5EF4-FFF2-40B4-BE49-F238E27FC236}">
              <a16:creationId xmlns:a16="http://schemas.microsoft.com/office/drawing/2014/main" id="{10FB4F6A-5A15-465C-878D-A7A25CDCC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729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88900</xdr:colOff>
      <xdr:row>433</xdr:row>
      <xdr:rowOff>50800</xdr:rowOff>
    </xdr:to>
    <xdr:pic>
      <xdr:nvPicPr>
        <xdr:cNvPr id="480" name="圖片 479" descr="https://www.slickcharts.com/img/up.gif">
          <a:extLst>
            <a:ext uri="{FF2B5EF4-FFF2-40B4-BE49-F238E27FC236}">
              <a16:creationId xmlns:a16="http://schemas.microsoft.com/office/drawing/2014/main" id="{6A46F853-CEDB-457F-B1CE-43E0EAEE0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749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88900</xdr:colOff>
      <xdr:row>434</xdr:row>
      <xdr:rowOff>50800</xdr:rowOff>
    </xdr:to>
    <xdr:pic>
      <xdr:nvPicPr>
        <xdr:cNvPr id="481" name="圖片 480" descr="https://www.slickcharts.com/img/up.gif">
          <a:extLst>
            <a:ext uri="{FF2B5EF4-FFF2-40B4-BE49-F238E27FC236}">
              <a16:creationId xmlns:a16="http://schemas.microsoft.com/office/drawing/2014/main" id="{F97396C2-6805-4405-A5BE-8C027E565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770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88900</xdr:colOff>
      <xdr:row>435</xdr:row>
      <xdr:rowOff>50800</xdr:rowOff>
    </xdr:to>
    <xdr:pic>
      <xdr:nvPicPr>
        <xdr:cNvPr id="482" name="圖片 481" descr="https://www.slickcharts.com/img/up.gif">
          <a:extLst>
            <a:ext uri="{FF2B5EF4-FFF2-40B4-BE49-F238E27FC236}">
              <a16:creationId xmlns:a16="http://schemas.microsoft.com/office/drawing/2014/main" id="{4852F704-7571-4D7B-95CB-085E74406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790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88900</xdr:colOff>
      <xdr:row>436</xdr:row>
      <xdr:rowOff>50800</xdr:rowOff>
    </xdr:to>
    <xdr:pic>
      <xdr:nvPicPr>
        <xdr:cNvPr id="483" name="圖片 482" descr="https://www.slickcharts.com/img/up.gif">
          <a:extLst>
            <a:ext uri="{FF2B5EF4-FFF2-40B4-BE49-F238E27FC236}">
              <a16:creationId xmlns:a16="http://schemas.microsoft.com/office/drawing/2014/main" id="{FDC24F69-951B-4F14-A278-73FFD520F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810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88900</xdr:colOff>
      <xdr:row>437</xdr:row>
      <xdr:rowOff>50800</xdr:rowOff>
    </xdr:to>
    <xdr:pic>
      <xdr:nvPicPr>
        <xdr:cNvPr id="484" name="圖片 483" descr="https://www.slickcharts.com/img/down.gif">
          <a:extLst>
            <a:ext uri="{FF2B5EF4-FFF2-40B4-BE49-F238E27FC236}">
              <a16:creationId xmlns:a16="http://schemas.microsoft.com/office/drawing/2014/main" id="{8F99A131-2509-4D17-857B-BCFF394E9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831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</xdr:row>
      <xdr:rowOff>0</xdr:rowOff>
    </xdr:from>
    <xdr:to>
      <xdr:col>0</xdr:col>
      <xdr:colOff>88900</xdr:colOff>
      <xdr:row>438</xdr:row>
      <xdr:rowOff>50800</xdr:rowOff>
    </xdr:to>
    <xdr:pic>
      <xdr:nvPicPr>
        <xdr:cNvPr id="485" name="圖片 484" descr="https://www.slickcharts.com/img/up.gif">
          <a:extLst>
            <a:ext uri="{FF2B5EF4-FFF2-40B4-BE49-F238E27FC236}">
              <a16:creationId xmlns:a16="http://schemas.microsoft.com/office/drawing/2014/main" id="{52D65A73-56DC-4C69-A19C-2796F2DDF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851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88900</xdr:colOff>
      <xdr:row>439</xdr:row>
      <xdr:rowOff>50800</xdr:rowOff>
    </xdr:to>
    <xdr:pic>
      <xdr:nvPicPr>
        <xdr:cNvPr id="486" name="圖片 485" descr="https://www.slickcharts.com/img/up.gif">
          <a:extLst>
            <a:ext uri="{FF2B5EF4-FFF2-40B4-BE49-F238E27FC236}">
              <a16:creationId xmlns:a16="http://schemas.microsoft.com/office/drawing/2014/main" id="{388C094D-96CD-4E7F-AC03-F0248C15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871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88900</xdr:colOff>
      <xdr:row>440</xdr:row>
      <xdr:rowOff>50800</xdr:rowOff>
    </xdr:to>
    <xdr:pic>
      <xdr:nvPicPr>
        <xdr:cNvPr id="487" name="圖片 486" descr="https://www.slickcharts.com/img/up.gif">
          <a:extLst>
            <a:ext uri="{FF2B5EF4-FFF2-40B4-BE49-F238E27FC236}">
              <a16:creationId xmlns:a16="http://schemas.microsoft.com/office/drawing/2014/main" id="{8602F1C5-DF80-44FE-8193-FF7EC804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892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88900</xdr:colOff>
      <xdr:row>441</xdr:row>
      <xdr:rowOff>50800</xdr:rowOff>
    </xdr:to>
    <xdr:pic>
      <xdr:nvPicPr>
        <xdr:cNvPr id="488" name="圖片 487" descr="https://www.slickcharts.com/img/up.gif">
          <a:extLst>
            <a:ext uri="{FF2B5EF4-FFF2-40B4-BE49-F238E27FC236}">
              <a16:creationId xmlns:a16="http://schemas.microsoft.com/office/drawing/2014/main" id="{8124BDAF-873F-4A92-A399-35042293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912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88900</xdr:colOff>
      <xdr:row>442</xdr:row>
      <xdr:rowOff>50800</xdr:rowOff>
    </xdr:to>
    <xdr:pic>
      <xdr:nvPicPr>
        <xdr:cNvPr id="489" name="圖片 488" descr="https://www.slickcharts.com/img/down.gif">
          <a:extLst>
            <a:ext uri="{FF2B5EF4-FFF2-40B4-BE49-F238E27FC236}">
              <a16:creationId xmlns:a16="http://schemas.microsoft.com/office/drawing/2014/main" id="{A750CD13-183B-4A0D-8A5E-61C137BCC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932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88900</xdr:colOff>
      <xdr:row>443</xdr:row>
      <xdr:rowOff>50800</xdr:rowOff>
    </xdr:to>
    <xdr:pic>
      <xdr:nvPicPr>
        <xdr:cNvPr id="490" name="圖片 489" descr="https://www.slickcharts.com/img/up.gif">
          <a:extLst>
            <a:ext uri="{FF2B5EF4-FFF2-40B4-BE49-F238E27FC236}">
              <a16:creationId xmlns:a16="http://schemas.microsoft.com/office/drawing/2014/main" id="{FA286F3F-3623-4124-9624-12BF2F7F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952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88900</xdr:colOff>
      <xdr:row>444</xdr:row>
      <xdr:rowOff>50800</xdr:rowOff>
    </xdr:to>
    <xdr:pic>
      <xdr:nvPicPr>
        <xdr:cNvPr id="491" name="圖片 490" descr="https://www.slickcharts.com/img/up.gif">
          <a:extLst>
            <a:ext uri="{FF2B5EF4-FFF2-40B4-BE49-F238E27FC236}">
              <a16:creationId xmlns:a16="http://schemas.microsoft.com/office/drawing/2014/main" id="{2BDC45DB-AC62-4798-80BF-B50FF04D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973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88900</xdr:colOff>
      <xdr:row>86</xdr:row>
      <xdr:rowOff>50800</xdr:rowOff>
    </xdr:to>
    <xdr:pic>
      <xdr:nvPicPr>
        <xdr:cNvPr id="492" name="圖片 491" descr="https://www.slickcharts.com/img/down.gif">
          <a:extLst>
            <a:ext uri="{FF2B5EF4-FFF2-40B4-BE49-F238E27FC236}">
              <a16:creationId xmlns:a16="http://schemas.microsoft.com/office/drawing/2014/main" id="{7C6DB443-45AA-474E-AF5D-92DF30BF6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9993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88900</xdr:colOff>
      <xdr:row>445</xdr:row>
      <xdr:rowOff>50800</xdr:rowOff>
    </xdr:to>
    <xdr:pic>
      <xdr:nvPicPr>
        <xdr:cNvPr id="493" name="圖片 492" descr="https://www.slickcharts.com/img/up.gif">
          <a:extLst>
            <a:ext uri="{FF2B5EF4-FFF2-40B4-BE49-F238E27FC236}">
              <a16:creationId xmlns:a16="http://schemas.microsoft.com/office/drawing/2014/main" id="{43361763-8792-40BF-A76F-FA9BB82F4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013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88900</xdr:colOff>
      <xdr:row>446</xdr:row>
      <xdr:rowOff>50800</xdr:rowOff>
    </xdr:to>
    <xdr:pic>
      <xdr:nvPicPr>
        <xdr:cNvPr id="494" name="圖片 493" descr="https://www.slickcharts.com/img/up.gif">
          <a:extLst>
            <a:ext uri="{FF2B5EF4-FFF2-40B4-BE49-F238E27FC236}">
              <a16:creationId xmlns:a16="http://schemas.microsoft.com/office/drawing/2014/main" id="{18AAF24D-3410-49D8-8FEC-860DDAD8D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034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88900</xdr:colOff>
      <xdr:row>447</xdr:row>
      <xdr:rowOff>50800</xdr:rowOff>
    </xdr:to>
    <xdr:pic>
      <xdr:nvPicPr>
        <xdr:cNvPr id="495" name="圖片 494" descr="https://www.slickcharts.com/img/up.gif">
          <a:extLst>
            <a:ext uri="{FF2B5EF4-FFF2-40B4-BE49-F238E27FC236}">
              <a16:creationId xmlns:a16="http://schemas.microsoft.com/office/drawing/2014/main" id="{CFC567BF-06FF-43A8-BE0E-F9F29544A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054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88900</xdr:colOff>
      <xdr:row>448</xdr:row>
      <xdr:rowOff>50800</xdr:rowOff>
    </xdr:to>
    <xdr:pic>
      <xdr:nvPicPr>
        <xdr:cNvPr id="496" name="圖片 495" descr="https://www.slickcharts.com/img/up.gif">
          <a:extLst>
            <a:ext uri="{FF2B5EF4-FFF2-40B4-BE49-F238E27FC236}">
              <a16:creationId xmlns:a16="http://schemas.microsoft.com/office/drawing/2014/main" id="{592F731B-8380-4239-83E9-D7EECDADD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074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88900</xdr:colOff>
      <xdr:row>46</xdr:row>
      <xdr:rowOff>50800</xdr:rowOff>
    </xdr:to>
    <xdr:pic>
      <xdr:nvPicPr>
        <xdr:cNvPr id="497" name="圖片 496" descr="https://www.slickcharts.com/img/up.gif">
          <a:extLst>
            <a:ext uri="{FF2B5EF4-FFF2-40B4-BE49-F238E27FC236}">
              <a16:creationId xmlns:a16="http://schemas.microsoft.com/office/drawing/2014/main" id="{6C7B5445-F490-4AE9-AE89-B94721DB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095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88900</xdr:colOff>
      <xdr:row>449</xdr:row>
      <xdr:rowOff>50800</xdr:rowOff>
    </xdr:to>
    <xdr:pic>
      <xdr:nvPicPr>
        <xdr:cNvPr id="498" name="圖片 497" descr="https://www.slickcharts.com/img/up.gif">
          <a:extLst>
            <a:ext uri="{FF2B5EF4-FFF2-40B4-BE49-F238E27FC236}">
              <a16:creationId xmlns:a16="http://schemas.microsoft.com/office/drawing/2014/main" id="{EFF809C4-D430-42C2-A54E-5C41ABEB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115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88900</xdr:colOff>
      <xdr:row>450</xdr:row>
      <xdr:rowOff>50800</xdr:rowOff>
    </xdr:to>
    <xdr:pic>
      <xdr:nvPicPr>
        <xdr:cNvPr id="499" name="圖片 498" descr="https://www.slickcharts.com/img/up.gif">
          <a:extLst>
            <a:ext uri="{FF2B5EF4-FFF2-40B4-BE49-F238E27FC236}">
              <a16:creationId xmlns:a16="http://schemas.microsoft.com/office/drawing/2014/main" id="{DE7427CA-8A30-4236-A216-3A7658B88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135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88900</xdr:colOff>
      <xdr:row>451</xdr:row>
      <xdr:rowOff>50800</xdr:rowOff>
    </xdr:to>
    <xdr:pic>
      <xdr:nvPicPr>
        <xdr:cNvPr id="500" name="圖片 499" descr="https://www.slickcharts.com/img/up.gif">
          <a:extLst>
            <a:ext uri="{FF2B5EF4-FFF2-40B4-BE49-F238E27FC236}">
              <a16:creationId xmlns:a16="http://schemas.microsoft.com/office/drawing/2014/main" id="{EB4EA334-6348-48CF-832E-A0747A216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156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88900</xdr:colOff>
      <xdr:row>452</xdr:row>
      <xdr:rowOff>50800</xdr:rowOff>
    </xdr:to>
    <xdr:pic>
      <xdr:nvPicPr>
        <xdr:cNvPr id="501" name="圖片 500" descr="https://www.slickcharts.com/img/up.gif">
          <a:extLst>
            <a:ext uri="{FF2B5EF4-FFF2-40B4-BE49-F238E27FC236}">
              <a16:creationId xmlns:a16="http://schemas.microsoft.com/office/drawing/2014/main" id="{0FCAFAA7-19A5-430E-ABBB-1C1FF50EB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176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88900</xdr:colOff>
      <xdr:row>453</xdr:row>
      <xdr:rowOff>50800</xdr:rowOff>
    </xdr:to>
    <xdr:pic>
      <xdr:nvPicPr>
        <xdr:cNvPr id="502" name="圖片 501" descr="https://www.slickcharts.com/img/up.gif">
          <a:extLst>
            <a:ext uri="{FF2B5EF4-FFF2-40B4-BE49-F238E27FC236}">
              <a16:creationId xmlns:a16="http://schemas.microsoft.com/office/drawing/2014/main" id="{06DA1ACF-E5D3-4A6C-BCCF-AEBBF236D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196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88900</xdr:colOff>
      <xdr:row>454</xdr:row>
      <xdr:rowOff>50800</xdr:rowOff>
    </xdr:to>
    <xdr:pic>
      <xdr:nvPicPr>
        <xdr:cNvPr id="503" name="圖片 502" descr="https://www.slickcharts.com/img/down.gif">
          <a:extLst>
            <a:ext uri="{FF2B5EF4-FFF2-40B4-BE49-F238E27FC236}">
              <a16:creationId xmlns:a16="http://schemas.microsoft.com/office/drawing/2014/main" id="{0F6BE65E-9EA5-4FE4-95DE-2A9E2B2CB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217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88900</xdr:colOff>
      <xdr:row>455</xdr:row>
      <xdr:rowOff>50800</xdr:rowOff>
    </xdr:to>
    <xdr:pic>
      <xdr:nvPicPr>
        <xdr:cNvPr id="504" name="圖片 503" descr="https://www.slickcharts.com/img/up.gif">
          <a:extLst>
            <a:ext uri="{FF2B5EF4-FFF2-40B4-BE49-F238E27FC236}">
              <a16:creationId xmlns:a16="http://schemas.microsoft.com/office/drawing/2014/main" id="{FEC406A7-6990-408E-98F8-7F4755EF4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237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62</xdr:row>
      <xdr:rowOff>0</xdr:rowOff>
    </xdr:from>
    <xdr:to>
      <xdr:col>7</xdr:col>
      <xdr:colOff>88900</xdr:colOff>
      <xdr:row>62</xdr:row>
      <xdr:rowOff>50800</xdr:rowOff>
    </xdr:to>
    <xdr:pic>
      <xdr:nvPicPr>
        <xdr:cNvPr id="2" name="圖片 1" descr="https://www.slickcharts.com/img/down.gif">
          <a:extLst>
            <a:ext uri="{FF2B5EF4-FFF2-40B4-BE49-F238E27FC236}">
              <a16:creationId xmlns:a16="http://schemas.microsoft.com/office/drawing/2014/main" id="{757DDF61-C440-4B55-8344-769245DFB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88900</xdr:colOff>
      <xdr:row>63</xdr:row>
      <xdr:rowOff>50800</xdr:rowOff>
    </xdr:to>
    <xdr:pic>
      <xdr:nvPicPr>
        <xdr:cNvPr id="3" name="圖片 2" descr="https://www.slickcharts.com/img/up.gif">
          <a:extLst>
            <a:ext uri="{FF2B5EF4-FFF2-40B4-BE49-F238E27FC236}">
              <a16:creationId xmlns:a16="http://schemas.microsoft.com/office/drawing/2014/main" id="{ADAF29AB-4BE9-4030-BA72-B87B715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1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88900</xdr:colOff>
      <xdr:row>64</xdr:row>
      <xdr:rowOff>50800</xdr:rowOff>
    </xdr:to>
    <xdr:pic>
      <xdr:nvPicPr>
        <xdr:cNvPr id="4" name="圖片 3" descr="https://www.slickcharts.com/img/up.gif">
          <a:extLst>
            <a:ext uri="{FF2B5EF4-FFF2-40B4-BE49-F238E27FC236}">
              <a16:creationId xmlns:a16="http://schemas.microsoft.com/office/drawing/2014/main" id="{0AF0055E-9AD9-4453-BCF8-D4E944E23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7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88900</xdr:colOff>
      <xdr:row>98</xdr:row>
      <xdr:rowOff>50800</xdr:rowOff>
    </xdr:to>
    <xdr:pic>
      <xdr:nvPicPr>
        <xdr:cNvPr id="5" name="圖片 4" descr="https://www.slickcharts.com/img/down.gif">
          <a:extLst>
            <a:ext uri="{FF2B5EF4-FFF2-40B4-BE49-F238E27FC236}">
              <a16:creationId xmlns:a16="http://schemas.microsoft.com/office/drawing/2014/main" id="{8AA80B15-B49A-4208-974A-4B4157792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3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88900</xdr:colOff>
      <xdr:row>65</xdr:row>
      <xdr:rowOff>50800</xdr:rowOff>
    </xdr:to>
    <xdr:pic>
      <xdr:nvPicPr>
        <xdr:cNvPr id="6" name="圖片 5" descr="https://www.slickcharts.com/img/up.gif">
          <a:extLst>
            <a:ext uri="{FF2B5EF4-FFF2-40B4-BE49-F238E27FC236}">
              <a16:creationId xmlns:a16="http://schemas.microsoft.com/office/drawing/2014/main" id="{62A293DC-CB00-4A0C-9F77-BFA49802E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88900</xdr:colOff>
      <xdr:row>127</xdr:row>
      <xdr:rowOff>50800</xdr:rowOff>
    </xdr:to>
    <xdr:pic>
      <xdr:nvPicPr>
        <xdr:cNvPr id="7" name="圖片 6" descr="https://www.slickcharts.com/img/up.gif">
          <a:extLst>
            <a:ext uri="{FF2B5EF4-FFF2-40B4-BE49-F238E27FC236}">
              <a16:creationId xmlns:a16="http://schemas.microsoft.com/office/drawing/2014/main" id="{5CC8AB95-6500-425C-AA5E-4CEA5B96E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5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88900</xdr:colOff>
      <xdr:row>66</xdr:row>
      <xdr:rowOff>50800</xdr:rowOff>
    </xdr:to>
    <xdr:pic>
      <xdr:nvPicPr>
        <xdr:cNvPr id="8" name="圖片 7" descr="https://www.slickcharts.com/img/up.gif">
          <a:extLst>
            <a:ext uri="{FF2B5EF4-FFF2-40B4-BE49-F238E27FC236}">
              <a16:creationId xmlns:a16="http://schemas.microsoft.com/office/drawing/2014/main" id="{ACE6AE82-9829-4982-A5A3-7DBC00674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1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88900</xdr:colOff>
      <xdr:row>67</xdr:row>
      <xdr:rowOff>50800</xdr:rowOff>
    </xdr:to>
    <xdr:pic>
      <xdr:nvPicPr>
        <xdr:cNvPr id="9" name="圖片 8" descr="https://www.slickcharts.com/img/up.gif">
          <a:extLst>
            <a:ext uri="{FF2B5EF4-FFF2-40B4-BE49-F238E27FC236}">
              <a16:creationId xmlns:a16="http://schemas.microsoft.com/office/drawing/2014/main" id="{E41D3DC7-2386-430E-8A3B-1DE6D91CA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7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88900</xdr:colOff>
      <xdr:row>15</xdr:row>
      <xdr:rowOff>50800</xdr:rowOff>
    </xdr:to>
    <xdr:pic>
      <xdr:nvPicPr>
        <xdr:cNvPr id="10" name="圖片 9" descr="https://www.slickcharts.com/img/up.gif">
          <a:extLst>
            <a:ext uri="{FF2B5EF4-FFF2-40B4-BE49-F238E27FC236}">
              <a16:creationId xmlns:a16="http://schemas.microsoft.com/office/drawing/2014/main" id="{88422B20-EF71-4514-A8C9-FCEC6D7A6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88900</xdr:colOff>
      <xdr:row>156</xdr:row>
      <xdr:rowOff>50800</xdr:rowOff>
    </xdr:to>
    <xdr:pic>
      <xdr:nvPicPr>
        <xdr:cNvPr id="11" name="圖片 10" descr="https://www.slickcharts.com/img/up.gif">
          <a:extLst>
            <a:ext uri="{FF2B5EF4-FFF2-40B4-BE49-F238E27FC236}">
              <a16:creationId xmlns:a16="http://schemas.microsoft.com/office/drawing/2014/main" id="{3D5CA07F-8A3E-4655-A884-AFAB2730B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59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128</xdr:row>
      <xdr:rowOff>0</xdr:rowOff>
    </xdr:from>
    <xdr:to>
      <xdr:col>7</xdr:col>
      <xdr:colOff>88900</xdr:colOff>
      <xdr:row>128</xdr:row>
      <xdr:rowOff>50800</xdr:rowOff>
    </xdr:to>
    <xdr:pic>
      <xdr:nvPicPr>
        <xdr:cNvPr id="12" name="圖片 11" descr="https://www.slickcharts.com/img/up.gif">
          <a:extLst>
            <a:ext uri="{FF2B5EF4-FFF2-40B4-BE49-F238E27FC236}">
              <a16:creationId xmlns:a16="http://schemas.microsoft.com/office/drawing/2014/main" id="{F47FE1D4-3665-41C4-B32D-615C08A56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74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88900</xdr:colOff>
      <xdr:row>113</xdr:row>
      <xdr:rowOff>50800</xdr:rowOff>
    </xdr:to>
    <xdr:pic>
      <xdr:nvPicPr>
        <xdr:cNvPr id="13" name="圖片 12" descr="https://www.slickcharts.com/img/up.gif">
          <a:extLst>
            <a:ext uri="{FF2B5EF4-FFF2-40B4-BE49-F238E27FC236}">
              <a16:creationId xmlns:a16="http://schemas.microsoft.com/office/drawing/2014/main" id="{CC440DD7-B539-43DE-9FD3-D174C8487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90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142</xdr:row>
      <xdr:rowOff>0</xdr:rowOff>
    </xdr:from>
    <xdr:to>
      <xdr:col>7</xdr:col>
      <xdr:colOff>88900</xdr:colOff>
      <xdr:row>142</xdr:row>
      <xdr:rowOff>50800</xdr:rowOff>
    </xdr:to>
    <xdr:pic>
      <xdr:nvPicPr>
        <xdr:cNvPr id="14" name="圖片 13" descr="https://www.slickcharts.com/img/up.gif">
          <a:extLst>
            <a:ext uri="{FF2B5EF4-FFF2-40B4-BE49-F238E27FC236}">
              <a16:creationId xmlns:a16="http://schemas.microsoft.com/office/drawing/2014/main" id="{57690282-C4DF-4767-81A0-67257F787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143</xdr:row>
      <xdr:rowOff>0</xdr:rowOff>
    </xdr:from>
    <xdr:to>
      <xdr:col>7</xdr:col>
      <xdr:colOff>88900</xdr:colOff>
      <xdr:row>143</xdr:row>
      <xdr:rowOff>50800</xdr:rowOff>
    </xdr:to>
    <xdr:pic>
      <xdr:nvPicPr>
        <xdr:cNvPr id="15" name="圖片 14" descr="https://www.slickcharts.com/img/up.gif">
          <a:extLst>
            <a:ext uri="{FF2B5EF4-FFF2-40B4-BE49-F238E27FC236}">
              <a16:creationId xmlns:a16="http://schemas.microsoft.com/office/drawing/2014/main" id="{264703C0-9B48-427C-ACDF-C2264177C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22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88900</xdr:colOff>
      <xdr:row>36</xdr:row>
      <xdr:rowOff>50800</xdr:rowOff>
    </xdr:to>
    <xdr:pic>
      <xdr:nvPicPr>
        <xdr:cNvPr id="16" name="圖片 15" descr="https://www.slickcharts.com/img/up.gif">
          <a:extLst>
            <a:ext uri="{FF2B5EF4-FFF2-40B4-BE49-F238E27FC236}">
              <a16:creationId xmlns:a16="http://schemas.microsoft.com/office/drawing/2014/main" id="{9001D74F-BB0D-40F1-A699-779717DD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38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144</xdr:row>
      <xdr:rowOff>0</xdr:rowOff>
    </xdr:from>
    <xdr:to>
      <xdr:col>7</xdr:col>
      <xdr:colOff>88900</xdr:colOff>
      <xdr:row>144</xdr:row>
      <xdr:rowOff>50800</xdr:rowOff>
    </xdr:to>
    <xdr:pic>
      <xdr:nvPicPr>
        <xdr:cNvPr id="17" name="圖片 16" descr="https://www.slickcharts.com/img/up.gif">
          <a:extLst>
            <a:ext uri="{FF2B5EF4-FFF2-40B4-BE49-F238E27FC236}">
              <a16:creationId xmlns:a16="http://schemas.microsoft.com/office/drawing/2014/main" id="{186C3B12-554F-49AF-8FE7-D14DB66A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54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88900</xdr:colOff>
      <xdr:row>99</xdr:row>
      <xdr:rowOff>50800</xdr:rowOff>
    </xdr:to>
    <xdr:pic>
      <xdr:nvPicPr>
        <xdr:cNvPr id="18" name="圖片 17" descr="https://www.slickcharts.com/img/up.gif">
          <a:extLst>
            <a:ext uri="{FF2B5EF4-FFF2-40B4-BE49-F238E27FC236}">
              <a16:creationId xmlns:a16="http://schemas.microsoft.com/office/drawing/2014/main" id="{F67F3BAA-D004-4AF9-9DDD-E5B69037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7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88900</xdr:colOff>
      <xdr:row>100</xdr:row>
      <xdr:rowOff>50800</xdr:rowOff>
    </xdr:to>
    <xdr:pic>
      <xdr:nvPicPr>
        <xdr:cNvPr id="19" name="圖片 18" descr="https://www.slickcharts.com/img/up.gif">
          <a:extLst>
            <a:ext uri="{FF2B5EF4-FFF2-40B4-BE49-F238E27FC236}">
              <a16:creationId xmlns:a16="http://schemas.microsoft.com/office/drawing/2014/main" id="{EA5D166A-842A-4536-9689-D38C1F89E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86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88900</xdr:colOff>
      <xdr:row>48</xdr:row>
      <xdr:rowOff>50800</xdr:rowOff>
    </xdr:to>
    <xdr:pic>
      <xdr:nvPicPr>
        <xdr:cNvPr id="20" name="圖片 19" descr="https://www.slickcharts.com/img/up.gif">
          <a:extLst>
            <a:ext uri="{FF2B5EF4-FFF2-40B4-BE49-F238E27FC236}">
              <a16:creationId xmlns:a16="http://schemas.microsoft.com/office/drawing/2014/main" id="{CDF15B07-B9B8-4FA2-BD02-8FD26788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02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88900</xdr:colOff>
      <xdr:row>114</xdr:row>
      <xdr:rowOff>50800</xdr:rowOff>
    </xdr:to>
    <xdr:pic>
      <xdr:nvPicPr>
        <xdr:cNvPr id="21" name="圖片 20" descr="https://www.slickcharts.com/img/up.gif">
          <a:extLst>
            <a:ext uri="{FF2B5EF4-FFF2-40B4-BE49-F238E27FC236}">
              <a16:creationId xmlns:a16="http://schemas.microsoft.com/office/drawing/2014/main" id="{0A527726-88D3-4B13-9FDD-DF1C76D76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18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129</xdr:row>
      <xdr:rowOff>0</xdr:rowOff>
    </xdr:from>
    <xdr:to>
      <xdr:col>7</xdr:col>
      <xdr:colOff>88900</xdr:colOff>
      <xdr:row>129</xdr:row>
      <xdr:rowOff>50800</xdr:rowOff>
    </xdr:to>
    <xdr:pic>
      <xdr:nvPicPr>
        <xdr:cNvPr id="22" name="圖片 21" descr="https://www.slickcharts.com/img/down.gif">
          <a:extLst>
            <a:ext uri="{FF2B5EF4-FFF2-40B4-BE49-F238E27FC236}">
              <a16:creationId xmlns:a16="http://schemas.microsoft.com/office/drawing/2014/main" id="{2CB2EC84-90B0-446E-AB87-1F06203CF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3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88900</xdr:colOff>
      <xdr:row>101</xdr:row>
      <xdr:rowOff>50800</xdr:rowOff>
    </xdr:to>
    <xdr:pic>
      <xdr:nvPicPr>
        <xdr:cNvPr id="23" name="圖片 22" descr="https://www.slickcharts.com/img/up.gif">
          <a:extLst>
            <a:ext uri="{FF2B5EF4-FFF2-40B4-BE49-F238E27FC236}">
              <a16:creationId xmlns:a16="http://schemas.microsoft.com/office/drawing/2014/main" id="{ED321FBA-1343-4C6C-98A0-F25BE7300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49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88900</xdr:colOff>
      <xdr:row>115</xdr:row>
      <xdr:rowOff>50800</xdr:rowOff>
    </xdr:to>
    <xdr:pic>
      <xdr:nvPicPr>
        <xdr:cNvPr id="24" name="圖片 23" descr="https://www.slickcharts.com/img/up.gif">
          <a:extLst>
            <a:ext uri="{FF2B5EF4-FFF2-40B4-BE49-F238E27FC236}">
              <a16:creationId xmlns:a16="http://schemas.microsoft.com/office/drawing/2014/main" id="{6C664EB2-0DC3-45D9-AA2F-B3134239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65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88900</xdr:colOff>
      <xdr:row>1</xdr:row>
      <xdr:rowOff>50800</xdr:rowOff>
    </xdr:to>
    <xdr:pic>
      <xdr:nvPicPr>
        <xdr:cNvPr id="25" name="圖片 24" descr="https://www.slickcharts.com/img/up.gif">
          <a:extLst>
            <a:ext uri="{FF2B5EF4-FFF2-40B4-BE49-F238E27FC236}">
              <a16:creationId xmlns:a16="http://schemas.microsoft.com/office/drawing/2014/main" id="{6635D286-ED56-43D1-AAF6-EAFC8468C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81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130</xdr:row>
      <xdr:rowOff>0</xdr:rowOff>
    </xdr:from>
    <xdr:to>
      <xdr:col>7</xdr:col>
      <xdr:colOff>88900</xdr:colOff>
      <xdr:row>130</xdr:row>
      <xdr:rowOff>50800</xdr:rowOff>
    </xdr:to>
    <xdr:pic>
      <xdr:nvPicPr>
        <xdr:cNvPr id="26" name="圖片 25" descr="https://www.slickcharts.com/img/up.gif">
          <a:extLst>
            <a:ext uri="{FF2B5EF4-FFF2-40B4-BE49-F238E27FC236}">
              <a16:creationId xmlns:a16="http://schemas.microsoft.com/office/drawing/2014/main" id="{918E931C-5C93-488B-9495-444A9F209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9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88900</xdr:colOff>
      <xdr:row>2</xdr:row>
      <xdr:rowOff>50800</xdr:rowOff>
    </xdr:to>
    <xdr:pic>
      <xdr:nvPicPr>
        <xdr:cNvPr id="27" name="圖片 26" descr="https://www.slickcharts.com/img/up.gif">
          <a:extLst>
            <a:ext uri="{FF2B5EF4-FFF2-40B4-BE49-F238E27FC236}">
              <a16:creationId xmlns:a16="http://schemas.microsoft.com/office/drawing/2014/main" id="{45E3A26E-01F4-41C1-A200-4B2507CA4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13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88900</xdr:colOff>
      <xdr:row>68</xdr:row>
      <xdr:rowOff>50800</xdr:rowOff>
    </xdr:to>
    <xdr:pic>
      <xdr:nvPicPr>
        <xdr:cNvPr id="28" name="圖片 27" descr="https://www.slickcharts.com/img/up.gif">
          <a:extLst>
            <a:ext uri="{FF2B5EF4-FFF2-40B4-BE49-F238E27FC236}">
              <a16:creationId xmlns:a16="http://schemas.microsoft.com/office/drawing/2014/main" id="{AA7DB6F0-7E5A-4A22-A280-797A12A1D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29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88900</xdr:colOff>
      <xdr:row>69</xdr:row>
      <xdr:rowOff>50800</xdr:rowOff>
    </xdr:to>
    <xdr:pic>
      <xdr:nvPicPr>
        <xdr:cNvPr id="29" name="圖片 28" descr="https://www.slickcharts.com/img/up.gif">
          <a:extLst>
            <a:ext uri="{FF2B5EF4-FFF2-40B4-BE49-F238E27FC236}">
              <a16:creationId xmlns:a16="http://schemas.microsoft.com/office/drawing/2014/main" id="{4F8B9EBF-2BAE-4C7F-ACE6-52BA2A053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45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131</xdr:row>
      <xdr:rowOff>0</xdr:rowOff>
    </xdr:from>
    <xdr:to>
      <xdr:col>7</xdr:col>
      <xdr:colOff>88900</xdr:colOff>
      <xdr:row>131</xdr:row>
      <xdr:rowOff>50800</xdr:rowOff>
    </xdr:to>
    <xdr:pic>
      <xdr:nvPicPr>
        <xdr:cNvPr id="30" name="圖片 29" descr="https://www.slickcharts.com/img/up.gif">
          <a:extLst>
            <a:ext uri="{FF2B5EF4-FFF2-40B4-BE49-F238E27FC236}">
              <a16:creationId xmlns:a16="http://schemas.microsoft.com/office/drawing/2014/main" id="{D3017298-047C-44E1-8884-5BD2BC200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6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88900</xdr:colOff>
      <xdr:row>70</xdr:row>
      <xdr:rowOff>50800</xdr:rowOff>
    </xdr:to>
    <xdr:pic>
      <xdr:nvPicPr>
        <xdr:cNvPr id="31" name="圖片 30" descr="https://www.slickcharts.com/img/up.gif">
          <a:extLst>
            <a:ext uri="{FF2B5EF4-FFF2-40B4-BE49-F238E27FC236}">
              <a16:creationId xmlns:a16="http://schemas.microsoft.com/office/drawing/2014/main" id="{945A8B34-9911-464B-AB82-90566F3FB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77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71</xdr:row>
      <xdr:rowOff>0</xdr:rowOff>
    </xdr:from>
    <xdr:to>
      <xdr:col>7</xdr:col>
      <xdr:colOff>88900</xdr:colOff>
      <xdr:row>71</xdr:row>
      <xdr:rowOff>50800</xdr:rowOff>
    </xdr:to>
    <xdr:pic>
      <xdr:nvPicPr>
        <xdr:cNvPr id="32" name="圖片 31" descr="https://www.slickcharts.com/img/up.gif">
          <a:extLst>
            <a:ext uri="{FF2B5EF4-FFF2-40B4-BE49-F238E27FC236}">
              <a16:creationId xmlns:a16="http://schemas.microsoft.com/office/drawing/2014/main" id="{D87A0C2A-BA48-4F2D-A1BC-412323AB6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92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88900</xdr:colOff>
      <xdr:row>37</xdr:row>
      <xdr:rowOff>50800</xdr:rowOff>
    </xdr:to>
    <xdr:pic>
      <xdr:nvPicPr>
        <xdr:cNvPr id="33" name="圖片 32" descr="https://www.slickcharts.com/img/up.gif">
          <a:extLst>
            <a:ext uri="{FF2B5EF4-FFF2-40B4-BE49-F238E27FC236}">
              <a16:creationId xmlns:a16="http://schemas.microsoft.com/office/drawing/2014/main" id="{53E3B2BE-E844-4EF5-BE55-B9C706AF9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08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0</xdr:rowOff>
    </xdr:from>
    <xdr:to>
      <xdr:col>7</xdr:col>
      <xdr:colOff>88900</xdr:colOff>
      <xdr:row>116</xdr:row>
      <xdr:rowOff>50800</xdr:rowOff>
    </xdr:to>
    <xdr:pic>
      <xdr:nvPicPr>
        <xdr:cNvPr id="34" name="圖片 33" descr="https://www.slickcharts.com/img/up.gif">
          <a:extLst>
            <a:ext uri="{FF2B5EF4-FFF2-40B4-BE49-F238E27FC236}">
              <a16:creationId xmlns:a16="http://schemas.microsoft.com/office/drawing/2014/main" id="{DF58DF7E-6971-43D1-A237-893B6804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2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88900</xdr:colOff>
      <xdr:row>102</xdr:row>
      <xdr:rowOff>50800</xdr:rowOff>
    </xdr:to>
    <xdr:pic>
      <xdr:nvPicPr>
        <xdr:cNvPr id="35" name="圖片 34" descr="https://www.slickcharts.com/img/down.gif">
          <a:extLst>
            <a:ext uri="{FF2B5EF4-FFF2-40B4-BE49-F238E27FC236}">
              <a16:creationId xmlns:a16="http://schemas.microsoft.com/office/drawing/2014/main" id="{09F31BBF-2827-4ECA-8F29-2A0F8D67A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40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88900</xdr:colOff>
      <xdr:row>72</xdr:row>
      <xdr:rowOff>50800</xdr:rowOff>
    </xdr:to>
    <xdr:pic>
      <xdr:nvPicPr>
        <xdr:cNvPr id="36" name="圖片 35" descr="https://www.slickcharts.com/img/up.gif">
          <a:extLst>
            <a:ext uri="{FF2B5EF4-FFF2-40B4-BE49-F238E27FC236}">
              <a16:creationId xmlns:a16="http://schemas.microsoft.com/office/drawing/2014/main" id="{75CDB1E6-4D4D-4717-83CB-73A0DBD6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56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88900</xdr:colOff>
      <xdr:row>21</xdr:row>
      <xdr:rowOff>50800</xdr:rowOff>
    </xdr:to>
    <xdr:pic>
      <xdr:nvPicPr>
        <xdr:cNvPr id="37" name="圖片 36" descr="https://www.slickcharts.com/img/up.gif">
          <a:extLst>
            <a:ext uri="{FF2B5EF4-FFF2-40B4-BE49-F238E27FC236}">
              <a16:creationId xmlns:a16="http://schemas.microsoft.com/office/drawing/2014/main" id="{09369AEA-49DC-484B-89DA-3585950F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72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88900</xdr:colOff>
      <xdr:row>49</xdr:row>
      <xdr:rowOff>50800</xdr:rowOff>
    </xdr:to>
    <xdr:pic>
      <xdr:nvPicPr>
        <xdr:cNvPr id="38" name="圖片 37" descr="https://www.slickcharts.com/img/up.gif">
          <a:extLst>
            <a:ext uri="{FF2B5EF4-FFF2-40B4-BE49-F238E27FC236}">
              <a16:creationId xmlns:a16="http://schemas.microsoft.com/office/drawing/2014/main" id="{8FD3B29E-6263-420B-843E-2BAD3C997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8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88900</xdr:colOff>
      <xdr:row>117</xdr:row>
      <xdr:rowOff>50800</xdr:rowOff>
    </xdr:to>
    <xdr:pic>
      <xdr:nvPicPr>
        <xdr:cNvPr id="39" name="圖片 38" descr="https://www.slickcharts.com/img/down.gif">
          <a:extLst>
            <a:ext uri="{FF2B5EF4-FFF2-40B4-BE49-F238E27FC236}">
              <a16:creationId xmlns:a16="http://schemas.microsoft.com/office/drawing/2014/main" id="{9137DD14-9F7F-42A8-8EC1-79DAA24D0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04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7</xdr:col>
      <xdr:colOff>88900</xdr:colOff>
      <xdr:row>77</xdr:row>
      <xdr:rowOff>50800</xdr:rowOff>
    </xdr:to>
    <xdr:pic>
      <xdr:nvPicPr>
        <xdr:cNvPr id="40" name="圖片 39" descr="https://www.slickcharts.com/img/down.gif">
          <a:extLst>
            <a:ext uri="{FF2B5EF4-FFF2-40B4-BE49-F238E27FC236}">
              <a16:creationId xmlns:a16="http://schemas.microsoft.com/office/drawing/2014/main" id="{E9151E6E-4FDA-48ED-8AB6-04A17B3D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20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88900</xdr:colOff>
      <xdr:row>73</xdr:row>
      <xdr:rowOff>50800</xdr:rowOff>
    </xdr:to>
    <xdr:pic>
      <xdr:nvPicPr>
        <xdr:cNvPr id="41" name="圖片 40" descr="https://www.slickcharts.com/img/up.gif">
          <a:extLst>
            <a:ext uri="{FF2B5EF4-FFF2-40B4-BE49-F238E27FC236}">
              <a16:creationId xmlns:a16="http://schemas.microsoft.com/office/drawing/2014/main" id="{99EB36ED-78DA-4F82-B39A-D28D28E9C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36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145</xdr:row>
      <xdr:rowOff>0</xdr:rowOff>
    </xdr:from>
    <xdr:to>
      <xdr:col>7</xdr:col>
      <xdr:colOff>88900</xdr:colOff>
      <xdr:row>145</xdr:row>
      <xdr:rowOff>50800</xdr:rowOff>
    </xdr:to>
    <xdr:pic>
      <xdr:nvPicPr>
        <xdr:cNvPr id="42" name="圖片 41" descr="https://www.slickcharts.com/img/up.gif">
          <a:extLst>
            <a:ext uri="{FF2B5EF4-FFF2-40B4-BE49-F238E27FC236}">
              <a16:creationId xmlns:a16="http://schemas.microsoft.com/office/drawing/2014/main" id="{831E67F9-B753-4AA5-8309-73FC5D079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5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118</xdr:row>
      <xdr:rowOff>0</xdr:rowOff>
    </xdr:from>
    <xdr:to>
      <xdr:col>7</xdr:col>
      <xdr:colOff>88900</xdr:colOff>
      <xdr:row>118</xdr:row>
      <xdr:rowOff>50800</xdr:rowOff>
    </xdr:to>
    <xdr:pic>
      <xdr:nvPicPr>
        <xdr:cNvPr id="43" name="圖片 42" descr="https://www.slickcharts.com/img/up.gif">
          <a:extLst>
            <a:ext uri="{FF2B5EF4-FFF2-40B4-BE49-F238E27FC236}">
              <a16:creationId xmlns:a16="http://schemas.microsoft.com/office/drawing/2014/main" id="{0563AB98-DB2D-4C85-B839-C838B96F0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67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88900</xdr:colOff>
      <xdr:row>3</xdr:row>
      <xdr:rowOff>50800</xdr:rowOff>
    </xdr:to>
    <xdr:pic>
      <xdr:nvPicPr>
        <xdr:cNvPr id="44" name="圖片 43" descr="https://www.slickcharts.com/img/up.gif">
          <a:extLst>
            <a:ext uri="{FF2B5EF4-FFF2-40B4-BE49-F238E27FC236}">
              <a16:creationId xmlns:a16="http://schemas.microsoft.com/office/drawing/2014/main" id="{457B97A5-DE9E-41B7-AC0D-B3130F6A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83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88900</xdr:colOff>
      <xdr:row>78</xdr:row>
      <xdr:rowOff>50800</xdr:rowOff>
    </xdr:to>
    <xdr:pic>
      <xdr:nvPicPr>
        <xdr:cNvPr id="45" name="圖片 44" descr="https://www.slickcharts.com/img/up.gif">
          <a:extLst>
            <a:ext uri="{FF2B5EF4-FFF2-40B4-BE49-F238E27FC236}">
              <a16:creationId xmlns:a16="http://schemas.microsoft.com/office/drawing/2014/main" id="{A5F266A0-DE4A-4D7B-9785-C549A3670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99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88900</xdr:colOff>
      <xdr:row>74</xdr:row>
      <xdr:rowOff>50800</xdr:rowOff>
    </xdr:to>
    <xdr:pic>
      <xdr:nvPicPr>
        <xdr:cNvPr id="46" name="圖片 45" descr="https://www.slickcharts.com/img/up.gif">
          <a:extLst>
            <a:ext uri="{FF2B5EF4-FFF2-40B4-BE49-F238E27FC236}">
              <a16:creationId xmlns:a16="http://schemas.microsoft.com/office/drawing/2014/main" id="{ECFC5711-CEB4-4BFD-85D4-B963B220D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1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132</xdr:row>
      <xdr:rowOff>0</xdr:rowOff>
    </xdr:from>
    <xdr:to>
      <xdr:col>7</xdr:col>
      <xdr:colOff>88900</xdr:colOff>
      <xdr:row>132</xdr:row>
      <xdr:rowOff>50800</xdr:rowOff>
    </xdr:to>
    <xdr:pic>
      <xdr:nvPicPr>
        <xdr:cNvPr id="47" name="圖片 46" descr="https://www.slickcharts.com/img/up.gif">
          <a:extLst>
            <a:ext uri="{FF2B5EF4-FFF2-40B4-BE49-F238E27FC236}">
              <a16:creationId xmlns:a16="http://schemas.microsoft.com/office/drawing/2014/main" id="{BAC2EAB8-2F1E-43C4-8FEE-18B190B3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31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88900</xdr:colOff>
      <xdr:row>22</xdr:row>
      <xdr:rowOff>50800</xdr:rowOff>
    </xdr:to>
    <xdr:pic>
      <xdr:nvPicPr>
        <xdr:cNvPr id="48" name="圖片 47" descr="https://www.slickcharts.com/img/up.gif">
          <a:extLst>
            <a:ext uri="{FF2B5EF4-FFF2-40B4-BE49-F238E27FC236}">
              <a16:creationId xmlns:a16="http://schemas.microsoft.com/office/drawing/2014/main" id="{96E97FDB-FA1E-46D6-9E05-8CADC5606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47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146</xdr:row>
      <xdr:rowOff>0</xdr:rowOff>
    </xdr:from>
    <xdr:to>
      <xdr:col>7</xdr:col>
      <xdr:colOff>88900</xdr:colOff>
      <xdr:row>146</xdr:row>
      <xdr:rowOff>50800</xdr:rowOff>
    </xdr:to>
    <xdr:pic>
      <xdr:nvPicPr>
        <xdr:cNvPr id="49" name="圖片 48" descr="https://www.slickcharts.com/img/up.gif">
          <a:extLst>
            <a:ext uri="{FF2B5EF4-FFF2-40B4-BE49-F238E27FC236}">
              <a16:creationId xmlns:a16="http://schemas.microsoft.com/office/drawing/2014/main" id="{4034440D-25D0-4625-97C1-4D578C2C5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63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7</xdr:col>
      <xdr:colOff>88900</xdr:colOff>
      <xdr:row>147</xdr:row>
      <xdr:rowOff>50800</xdr:rowOff>
    </xdr:to>
    <xdr:pic>
      <xdr:nvPicPr>
        <xdr:cNvPr id="50" name="圖片 49" descr="https://www.slickcharts.com/img/up.gif">
          <a:extLst>
            <a:ext uri="{FF2B5EF4-FFF2-40B4-BE49-F238E27FC236}">
              <a16:creationId xmlns:a16="http://schemas.microsoft.com/office/drawing/2014/main" id="{2939128A-07A8-4C57-AA69-0554DB912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7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148</xdr:row>
      <xdr:rowOff>0</xdr:rowOff>
    </xdr:from>
    <xdr:to>
      <xdr:col>7</xdr:col>
      <xdr:colOff>88900</xdr:colOff>
      <xdr:row>148</xdr:row>
      <xdr:rowOff>50800</xdr:rowOff>
    </xdr:to>
    <xdr:pic>
      <xdr:nvPicPr>
        <xdr:cNvPr id="51" name="圖片 50" descr="https://www.slickcharts.com/img/up.gif">
          <a:extLst>
            <a:ext uri="{FF2B5EF4-FFF2-40B4-BE49-F238E27FC236}">
              <a16:creationId xmlns:a16="http://schemas.microsoft.com/office/drawing/2014/main" id="{B840111D-DF2D-45FB-B3E7-D987A0EB6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95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88900</xdr:colOff>
      <xdr:row>75</xdr:row>
      <xdr:rowOff>50800</xdr:rowOff>
    </xdr:to>
    <xdr:pic>
      <xdr:nvPicPr>
        <xdr:cNvPr id="52" name="圖片 51" descr="https://www.slickcharts.com/img/up.gif">
          <a:extLst>
            <a:ext uri="{FF2B5EF4-FFF2-40B4-BE49-F238E27FC236}">
              <a16:creationId xmlns:a16="http://schemas.microsoft.com/office/drawing/2014/main" id="{3CABA6CE-1700-483E-A6C2-8794D9E80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10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133</xdr:row>
      <xdr:rowOff>0</xdr:rowOff>
    </xdr:from>
    <xdr:to>
      <xdr:col>7</xdr:col>
      <xdr:colOff>88900</xdr:colOff>
      <xdr:row>133</xdr:row>
      <xdr:rowOff>50800</xdr:rowOff>
    </xdr:to>
    <xdr:pic>
      <xdr:nvPicPr>
        <xdr:cNvPr id="53" name="圖片 52" descr="https://www.slickcharts.com/img/up.gif">
          <a:extLst>
            <a:ext uri="{FF2B5EF4-FFF2-40B4-BE49-F238E27FC236}">
              <a16:creationId xmlns:a16="http://schemas.microsoft.com/office/drawing/2014/main" id="{E94A528A-BCBF-45EC-B9F5-1BE00C7C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26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88900</xdr:colOff>
      <xdr:row>76</xdr:row>
      <xdr:rowOff>50800</xdr:rowOff>
    </xdr:to>
    <xdr:pic>
      <xdr:nvPicPr>
        <xdr:cNvPr id="54" name="圖片 53" descr="https://www.slickcharts.com/img/up.gif">
          <a:extLst>
            <a:ext uri="{FF2B5EF4-FFF2-40B4-BE49-F238E27FC236}">
              <a16:creationId xmlns:a16="http://schemas.microsoft.com/office/drawing/2014/main" id="{98224C82-EFC5-4168-BC2D-B9276163C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4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149</xdr:row>
      <xdr:rowOff>0</xdr:rowOff>
    </xdr:from>
    <xdr:to>
      <xdr:col>7</xdr:col>
      <xdr:colOff>88900</xdr:colOff>
      <xdr:row>149</xdr:row>
      <xdr:rowOff>50800</xdr:rowOff>
    </xdr:to>
    <xdr:pic>
      <xdr:nvPicPr>
        <xdr:cNvPr id="55" name="圖片 54" descr="https://www.slickcharts.com/img/up.gif">
          <a:extLst>
            <a:ext uri="{FF2B5EF4-FFF2-40B4-BE49-F238E27FC236}">
              <a16:creationId xmlns:a16="http://schemas.microsoft.com/office/drawing/2014/main" id="{D9E68CE3-561E-446D-BE05-DDCB074ED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58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88900</xdr:colOff>
      <xdr:row>157</xdr:row>
      <xdr:rowOff>50800</xdr:rowOff>
    </xdr:to>
    <xdr:pic>
      <xdr:nvPicPr>
        <xdr:cNvPr id="56" name="圖片 55" descr="https://www.slickcharts.com/img/up.gif">
          <a:extLst>
            <a:ext uri="{FF2B5EF4-FFF2-40B4-BE49-F238E27FC236}">
              <a16:creationId xmlns:a16="http://schemas.microsoft.com/office/drawing/2014/main" id="{A7AA9545-82D9-4840-8B09-47748EBC9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74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88900</xdr:colOff>
      <xdr:row>119</xdr:row>
      <xdr:rowOff>50800</xdr:rowOff>
    </xdr:to>
    <xdr:pic>
      <xdr:nvPicPr>
        <xdr:cNvPr id="57" name="圖片 56" descr="https://www.slickcharts.com/img/down.gif">
          <a:extLst>
            <a:ext uri="{FF2B5EF4-FFF2-40B4-BE49-F238E27FC236}">
              <a16:creationId xmlns:a16="http://schemas.microsoft.com/office/drawing/2014/main" id="{BB465806-893F-42BB-A02B-A4461425F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90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120</xdr:row>
      <xdr:rowOff>0</xdr:rowOff>
    </xdr:from>
    <xdr:to>
      <xdr:col>7</xdr:col>
      <xdr:colOff>88900</xdr:colOff>
      <xdr:row>120</xdr:row>
      <xdr:rowOff>50800</xdr:rowOff>
    </xdr:to>
    <xdr:pic>
      <xdr:nvPicPr>
        <xdr:cNvPr id="58" name="圖片 57" descr="https://www.slickcharts.com/img/up.gif">
          <a:extLst>
            <a:ext uri="{FF2B5EF4-FFF2-40B4-BE49-F238E27FC236}">
              <a16:creationId xmlns:a16="http://schemas.microsoft.com/office/drawing/2014/main" id="{87C7BBBB-501F-4F91-806F-3C063C71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0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88900</xdr:colOff>
      <xdr:row>23</xdr:row>
      <xdr:rowOff>50800</xdr:rowOff>
    </xdr:to>
    <xdr:pic>
      <xdr:nvPicPr>
        <xdr:cNvPr id="59" name="圖片 58" descr="https://www.slickcharts.com/img/up.gif">
          <a:extLst>
            <a:ext uri="{FF2B5EF4-FFF2-40B4-BE49-F238E27FC236}">
              <a16:creationId xmlns:a16="http://schemas.microsoft.com/office/drawing/2014/main" id="{C0467948-EB2E-4C85-8EA8-556688DB2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22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88900</xdr:colOff>
      <xdr:row>158</xdr:row>
      <xdr:rowOff>50800</xdr:rowOff>
    </xdr:to>
    <xdr:pic>
      <xdr:nvPicPr>
        <xdr:cNvPr id="60" name="圖片 59" descr="https://www.slickcharts.com/img/up.gif">
          <a:extLst>
            <a:ext uri="{FF2B5EF4-FFF2-40B4-BE49-F238E27FC236}">
              <a16:creationId xmlns:a16="http://schemas.microsoft.com/office/drawing/2014/main" id="{1FEE2360-8E69-4881-951F-8F050EB0B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738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134</xdr:row>
      <xdr:rowOff>0</xdr:rowOff>
    </xdr:from>
    <xdr:to>
      <xdr:col>7</xdr:col>
      <xdr:colOff>88900</xdr:colOff>
      <xdr:row>134</xdr:row>
      <xdr:rowOff>50800</xdr:rowOff>
    </xdr:to>
    <xdr:pic>
      <xdr:nvPicPr>
        <xdr:cNvPr id="61" name="圖片 60" descr="https://www.slickcharts.com/img/up.gif">
          <a:extLst>
            <a:ext uri="{FF2B5EF4-FFF2-40B4-BE49-F238E27FC236}">
              <a16:creationId xmlns:a16="http://schemas.microsoft.com/office/drawing/2014/main" id="{28C38ED6-55CC-4349-97A8-0B2F12859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954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135</xdr:row>
      <xdr:rowOff>0</xdr:rowOff>
    </xdr:from>
    <xdr:to>
      <xdr:col>7</xdr:col>
      <xdr:colOff>88900</xdr:colOff>
      <xdr:row>135</xdr:row>
      <xdr:rowOff>50800</xdr:rowOff>
    </xdr:to>
    <xdr:pic>
      <xdr:nvPicPr>
        <xdr:cNvPr id="62" name="圖片 61" descr="https://www.slickcharts.com/img/up.gif">
          <a:extLst>
            <a:ext uri="{FF2B5EF4-FFF2-40B4-BE49-F238E27FC236}">
              <a16:creationId xmlns:a16="http://schemas.microsoft.com/office/drawing/2014/main" id="{74955F38-7FD2-4905-89A5-33834CE76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16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88900</xdr:colOff>
      <xdr:row>159</xdr:row>
      <xdr:rowOff>50800</xdr:rowOff>
    </xdr:to>
    <xdr:pic>
      <xdr:nvPicPr>
        <xdr:cNvPr id="63" name="圖片 62" descr="https://www.slickcharts.com/img/up.gif">
          <a:extLst>
            <a:ext uri="{FF2B5EF4-FFF2-40B4-BE49-F238E27FC236}">
              <a16:creationId xmlns:a16="http://schemas.microsoft.com/office/drawing/2014/main" id="{3C5761B0-B1FA-4728-B33B-C88B08E76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385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103</xdr:row>
      <xdr:rowOff>0</xdr:rowOff>
    </xdr:from>
    <xdr:to>
      <xdr:col>7</xdr:col>
      <xdr:colOff>88900</xdr:colOff>
      <xdr:row>103</xdr:row>
      <xdr:rowOff>50800</xdr:rowOff>
    </xdr:to>
    <xdr:pic>
      <xdr:nvPicPr>
        <xdr:cNvPr id="64" name="圖片 63" descr="https://www.slickcharts.com/img/up.gif">
          <a:extLst>
            <a:ext uri="{FF2B5EF4-FFF2-40B4-BE49-F238E27FC236}">
              <a16:creationId xmlns:a16="http://schemas.microsoft.com/office/drawing/2014/main" id="{5D2FC48C-B84A-42BE-A203-A773333A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01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136</xdr:row>
      <xdr:rowOff>0</xdr:rowOff>
    </xdr:from>
    <xdr:to>
      <xdr:col>7</xdr:col>
      <xdr:colOff>88900</xdr:colOff>
      <xdr:row>136</xdr:row>
      <xdr:rowOff>50800</xdr:rowOff>
    </xdr:to>
    <xdr:pic>
      <xdr:nvPicPr>
        <xdr:cNvPr id="65" name="圖片 64" descr="https://www.slickcharts.com/img/up.gif">
          <a:extLst>
            <a:ext uri="{FF2B5EF4-FFF2-40B4-BE49-F238E27FC236}">
              <a16:creationId xmlns:a16="http://schemas.microsoft.com/office/drawing/2014/main" id="{DEC5CC7E-61CE-4DCF-8642-A0CEC043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17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88900</xdr:colOff>
      <xdr:row>24</xdr:row>
      <xdr:rowOff>50800</xdr:rowOff>
    </xdr:to>
    <xdr:pic>
      <xdr:nvPicPr>
        <xdr:cNvPr id="66" name="圖片 65" descr="https://www.slickcharts.com/img/up.gif">
          <a:extLst>
            <a:ext uri="{FF2B5EF4-FFF2-40B4-BE49-F238E27FC236}">
              <a16:creationId xmlns:a16="http://schemas.microsoft.com/office/drawing/2014/main" id="{2FFB062D-F737-4B7D-9A7E-329B215E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3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88900</xdr:colOff>
      <xdr:row>25</xdr:row>
      <xdr:rowOff>50800</xdr:rowOff>
    </xdr:to>
    <xdr:pic>
      <xdr:nvPicPr>
        <xdr:cNvPr id="67" name="圖片 66" descr="https://www.slickcharts.com/img/up.gif">
          <a:extLst>
            <a:ext uri="{FF2B5EF4-FFF2-40B4-BE49-F238E27FC236}">
              <a16:creationId xmlns:a16="http://schemas.microsoft.com/office/drawing/2014/main" id="{7EC14B13-6C5C-4F9B-B54E-5753A98D6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49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88900</xdr:colOff>
      <xdr:row>86</xdr:row>
      <xdr:rowOff>50800</xdr:rowOff>
    </xdr:to>
    <xdr:pic>
      <xdr:nvPicPr>
        <xdr:cNvPr id="68" name="圖片 67" descr="https://www.slickcharts.com/img/up.gif">
          <a:extLst>
            <a:ext uri="{FF2B5EF4-FFF2-40B4-BE49-F238E27FC236}">
              <a16:creationId xmlns:a16="http://schemas.microsoft.com/office/drawing/2014/main" id="{DCF0631B-2133-4C91-B636-936C0860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65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88900</xdr:colOff>
      <xdr:row>121</xdr:row>
      <xdr:rowOff>50800</xdr:rowOff>
    </xdr:to>
    <xdr:pic>
      <xdr:nvPicPr>
        <xdr:cNvPr id="69" name="圖片 68" descr="https://www.slickcharts.com/img/up.gif">
          <a:extLst>
            <a:ext uri="{FF2B5EF4-FFF2-40B4-BE49-F238E27FC236}">
              <a16:creationId xmlns:a16="http://schemas.microsoft.com/office/drawing/2014/main" id="{1E822C5E-A6C8-4E51-95D1-E2C32C94B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81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137</xdr:row>
      <xdr:rowOff>0</xdr:rowOff>
    </xdr:from>
    <xdr:to>
      <xdr:col>7</xdr:col>
      <xdr:colOff>88900</xdr:colOff>
      <xdr:row>137</xdr:row>
      <xdr:rowOff>50800</xdr:rowOff>
    </xdr:to>
    <xdr:pic>
      <xdr:nvPicPr>
        <xdr:cNvPr id="70" name="圖片 69" descr="https://www.slickcharts.com/img/up.gif">
          <a:extLst>
            <a:ext uri="{FF2B5EF4-FFF2-40B4-BE49-F238E27FC236}">
              <a16:creationId xmlns:a16="http://schemas.microsoft.com/office/drawing/2014/main" id="{F1C41327-614E-481F-9C94-EDEC63E0B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9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150</xdr:row>
      <xdr:rowOff>0</xdr:rowOff>
    </xdr:from>
    <xdr:to>
      <xdr:col>7</xdr:col>
      <xdr:colOff>88900</xdr:colOff>
      <xdr:row>150</xdr:row>
      <xdr:rowOff>50800</xdr:rowOff>
    </xdr:to>
    <xdr:pic>
      <xdr:nvPicPr>
        <xdr:cNvPr id="71" name="圖片 70" descr="https://www.slickcharts.com/img/up.gif">
          <a:extLst>
            <a:ext uri="{FF2B5EF4-FFF2-40B4-BE49-F238E27FC236}">
              <a16:creationId xmlns:a16="http://schemas.microsoft.com/office/drawing/2014/main" id="{56F0D8A4-771D-4BC9-89D2-3FD7A7673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113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122</xdr:row>
      <xdr:rowOff>0</xdr:rowOff>
    </xdr:from>
    <xdr:to>
      <xdr:col>7</xdr:col>
      <xdr:colOff>88900</xdr:colOff>
      <xdr:row>122</xdr:row>
      <xdr:rowOff>50800</xdr:rowOff>
    </xdr:to>
    <xdr:pic>
      <xdr:nvPicPr>
        <xdr:cNvPr id="72" name="圖片 71" descr="https://www.slickcharts.com/img/up.gif">
          <a:extLst>
            <a:ext uri="{FF2B5EF4-FFF2-40B4-BE49-F238E27FC236}">
              <a16:creationId xmlns:a16="http://schemas.microsoft.com/office/drawing/2014/main" id="{0D88B61E-3BE7-4EFF-A642-2C9C1EA0B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328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88900</xdr:colOff>
      <xdr:row>123</xdr:row>
      <xdr:rowOff>50800</xdr:rowOff>
    </xdr:to>
    <xdr:pic>
      <xdr:nvPicPr>
        <xdr:cNvPr id="73" name="圖片 72" descr="https://www.slickcharts.com/img/up.gif">
          <a:extLst>
            <a:ext uri="{FF2B5EF4-FFF2-40B4-BE49-F238E27FC236}">
              <a16:creationId xmlns:a16="http://schemas.microsoft.com/office/drawing/2014/main" id="{E6CAE1BD-64B6-45C6-A2DA-1643FFE0A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44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88900</xdr:colOff>
      <xdr:row>124</xdr:row>
      <xdr:rowOff>50800</xdr:rowOff>
    </xdr:to>
    <xdr:pic>
      <xdr:nvPicPr>
        <xdr:cNvPr id="74" name="圖片 73" descr="https://www.slickcharts.com/img/up.gif">
          <a:extLst>
            <a:ext uri="{FF2B5EF4-FFF2-40B4-BE49-F238E27FC236}">
              <a16:creationId xmlns:a16="http://schemas.microsoft.com/office/drawing/2014/main" id="{01044F69-41BF-4C67-B2B5-BE46CA516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76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138</xdr:row>
      <xdr:rowOff>0</xdr:rowOff>
    </xdr:from>
    <xdr:to>
      <xdr:col>7</xdr:col>
      <xdr:colOff>88900</xdr:colOff>
      <xdr:row>138</xdr:row>
      <xdr:rowOff>50800</xdr:rowOff>
    </xdr:to>
    <xdr:pic>
      <xdr:nvPicPr>
        <xdr:cNvPr id="75" name="圖片 74" descr="https://www.slickcharts.com/img/up.gif">
          <a:extLst>
            <a:ext uri="{FF2B5EF4-FFF2-40B4-BE49-F238E27FC236}">
              <a16:creationId xmlns:a16="http://schemas.microsoft.com/office/drawing/2014/main" id="{C9E231F2-8353-40B4-80D0-76D704761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976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79</xdr:row>
      <xdr:rowOff>0</xdr:rowOff>
    </xdr:from>
    <xdr:to>
      <xdr:col>7</xdr:col>
      <xdr:colOff>88900</xdr:colOff>
      <xdr:row>79</xdr:row>
      <xdr:rowOff>50800</xdr:rowOff>
    </xdr:to>
    <xdr:pic>
      <xdr:nvPicPr>
        <xdr:cNvPr id="76" name="圖片 75" descr="https://www.slickcharts.com/img/up.gif">
          <a:extLst>
            <a:ext uri="{FF2B5EF4-FFF2-40B4-BE49-F238E27FC236}">
              <a16:creationId xmlns:a16="http://schemas.microsoft.com/office/drawing/2014/main" id="{57DD05EE-9987-4228-99BC-8BC7F6A5F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92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88900</xdr:colOff>
      <xdr:row>160</xdr:row>
      <xdr:rowOff>50800</xdr:rowOff>
    </xdr:to>
    <xdr:pic>
      <xdr:nvPicPr>
        <xdr:cNvPr id="77" name="圖片 76" descr="https://www.slickcharts.com/img/up.gif">
          <a:extLst>
            <a:ext uri="{FF2B5EF4-FFF2-40B4-BE49-F238E27FC236}">
              <a16:creationId xmlns:a16="http://schemas.microsoft.com/office/drawing/2014/main" id="{45D6BACC-188B-455E-B411-38E7F8A19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08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88900</xdr:colOff>
      <xdr:row>104</xdr:row>
      <xdr:rowOff>50800</xdr:rowOff>
    </xdr:to>
    <xdr:pic>
      <xdr:nvPicPr>
        <xdr:cNvPr id="78" name="圖片 77" descr="https://www.slickcharts.com/img/up.gif">
          <a:extLst>
            <a:ext uri="{FF2B5EF4-FFF2-40B4-BE49-F238E27FC236}">
              <a16:creationId xmlns:a16="http://schemas.microsoft.com/office/drawing/2014/main" id="{2A63FE27-C52A-4384-8B5D-F84E4478C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2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88900</xdr:colOff>
      <xdr:row>161</xdr:row>
      <xdr:rowOff>50800</xdr:rowOff>
    </xdr:to>
    <xdr:pic>
      <xdr:nvPicPr>
        <xdr:cNvPr id="79" name="圖片 78" descr="https://www.slickcharts.com/img/up.gif">
          <a:extLst>
            <a:ext uri="{FF2B5EF4-FFF2-40B4-BE49-F238E27FC236}">
              <a16:creationId xmlns:a16="http://schemas.microsoft.com/office/drawing/2014/main" id="{5EF34F7A-CFC9-4C51-92B3-E8B19CC05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40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88900</xdr:colOff>
      <xdr:row>26</xdr:row>
      <xdr:rowOff>50800</xdr:rowOff>
    </xdr:to>
    <xdr:pic>
      <xdr:nvPicPr>
        <xdr:cNvPr id="80" name="圖片 79" descr="https://www.slickcharts.com/img/up.gif">
          <a:extLst>
            <a:ext uri="{FF2B5EF4-FFF2-40B4-BE49-F238E27FC236}">
              <a16:creationId xmlns:a16="http://schemas.microsoft.com/office/drawing/2014/main" id="{8262C74B-1638-4210-B7D7-D6A749E2C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56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88900</xdr:colOff>
      <xdr:row>162</xdr:row>
      <xdr:rowOff>50800</xdr:rowOff>
    </xdr:to>
    <xdr:pic>
      <xdr:nvPicPr>
        <xdr:cNvPr id="81" name="圖片 80" descr="https://www.slickcharts.com/img/up.gif">
          <a:extLst>
            <a:ext uri="{FF2B5EF4-FFF2-40B4-BE49-F238E27FC236}">
              <a16:creationId xmlns:a16="http://schemas.microsoft.com/office/drawing/2014/main" id="{4FF3D0C2-A635-450E-A7AA-B393ECE40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72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88900</xdr:colOff>
      <xdr:row>163</xdr:row>
      <xdr:rowOff>50800</xdr:rowOff>
    </xdr:to>
    <xdr:pic>
      <xdr:nvPicPr>
        <xdr:cNvPr id="82" name="圖片 81" descr="https://www.slickcharts.com/img/up.gif">
          <a:extLst>
            <a:ext uri="{FF2B5EF4-FFF2-40B4-BE49-F238E27FC236}">
              <a16:creationId xmlns:a16="http://schemas.microsoft.com/office/drawing/2014/main" id="{D5AE6836-064A-4575-8B5C-063B5E7A8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8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88900</xdr:colOff>
      <xdr:row>27</xdr:row>
      <xdr:rowOff>50800</xdr:rowOff>
    </xdr:to>
    <xdr:pic>
      <xdr:nvPicPr>
        <xdr:cNvPr id="83" name="圖片 82" descr="https://www.slickcharts.com/img/down.gif">
          <a:extLst>
            <a:ext uri="{FF2B5EF4-FFF2-40B4-BE49-F238E27FC236}">
              <a16:creationId xmlns:a16="http://schemas.microsoft.com/office/drawing/2014/main" id="{631CC059-E4B9-48A9-B500-87DC8F46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03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88900</xdr:colOff>
      <xdr:row>80</xdr:row>
      <xdr:rowOff>50800</xdr:rowOff>
    </xdr:to>
    <xdr:pic>
      <xdr:nvPicPr>
        <xdr:cNvPr id="84" name="圖片 83" descr="https://www.slickcharts.com/img/up.gif">
          <a:extLst>
            <a:ext uri="{FF2B5EF4-FFF2-40B4-BE49-F238E27FC236}">
              <a16:creationId xmlns:a16="http://schemas.microsoft.com/office/drawing/2014/main" id="{D7A2EC1B-5A11-40D1-8929-CFB9F8F9A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19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88900</xdr:colOff>
      <xdr:row>38</xdr:row>
      <xdr:rowOff>50800</xdr:rowOff>
    </xdr:to>
    <xdr:pic>
      <xdr:nvPicPr>
        <xdr:cNvPr id="85" name="圖片 84" descr="https://www.slickcharts.com/img/up.gif">
          <a:extLst>
            <a:ext uri="{FF2B5EF4-FFF2-40B4-BE49-F238E27FC236}">
              <a16:creationId xmlns:a16="http://schemas.microsoft.com/office/drawing/2014/main" id="{CD406C99-06C5-4DA7-8855-9F0DD6C77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35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139</xdr:row>
      <xdr:rowOff>0</xdr:rowOff>
    </xdr:from>
    <xdr:to>
      <xdr:col>7</xdr:col>
      <xdr:colOff>88900</xdr:colOff>
      <xdr:row>139</xdr:row>
      <xdr:rowOff>50800</xdr:rowOff>
    </xdr:to>
    <xdr:pic>
      <xdr:nvPicPr>
        <xdr:cNvPr id="86" name="圖片 85" descr="https://www.slickcharts.com/img/up.gif">
          <a:extLst>
            <a:ext uri="{FF2B5EF4-FFF2-40B4-BE49-F238E27FC236}">
              <a16:creationId xmlns:a16="http://schemas.microsoft.com/office/drawing/2014/main" id="{8FF506DC-7A4C-4F61-8A8A-2E7CB6CBA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5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88900</xdr:colOff>
      <xdr:row>125</xdr:row>
      <xdr:rowOff>50800</xdr:rowOff>
    </xdr:to>
    <xdr:pic>
      <xdr:nvPicPr>
        <xdr:cNvPr id="87" name="圖片 86" descr="https://www.slickcharts.com/img/up.gif">
          <a:extLst>
            <a:ext uri="{FF2B5EF4-FFF2-40B4-BE49-F238E27FC236}">
              <a16:creationId xmlns:a16="http://schemas.microsoft.com/office/drawing/2014/main" id="{17B5D196-136E-4DDA-89B9-CEB0D5F1A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67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88900</xdr:colOff>
      <xdr:row>164</xdr:row>
      <xdr:rowOff>50800</xdr:rowOff>
    </xdr:to>
    <xdr:pic>
      <xdr:nvPicPr>
        <xdr:cNvPr id="88" name="圖片 87" descr="https://www.slickcharts.com/img/up.gif">
          <a:extLst>
            <a:ext uri="{FF2B5EF4-FFF2-40B4-BE49-F238E27FC236}">
              <a16:creationId xmlns:a16="http://schemas.microsoft.com/office/drawing/2014/main" id="{D44E451A-4E50-4E79-B155-FC6157C3F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83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140</xdr:row>
      <xdr:rowOff>0</xdr:rowOff>
    </xdr:from>
    <xdr:to>
      <xdr:col>7</xdr:col>
      <xdr:colOff>88900</xdr:colOff>
      <xdr:row>140</xdr:row>
      <xdr:rowOff>50800</xdr:rowOff>
    </xdr:to>
    <xdr:pic>
      <xdr:nvPicPr>
        <xdr:cNvPr id="89" name="圖片 88" descr="https://www.slickcharts.com/img/up.gif">
          <a:extLst>
            <a:ext uri="{FF2B5EF4-FFF2-40B4-BE49-F238E27FC236}">
              <a16:creationId xmlns:a16="http://schemas.microsoft.com/office/drawing/2014/main" id="{3E9164C9-504F-4899-83FA-1B947B299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99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88900</xdr:colOff>
      <xdr:row>28</xdr:row>
      <xdr:rowOff>50800</xdr:rowOff>
    </xdr:to>
    <xdr:pic>
      <xdr:nvPicPr>
        <xdr:cNvPr id="90" name="圖片 89" descr="https://www.slickcharts.com/img/up.gif">
          <a:extLst>
            <a:ext uri="{FF2B5EF4-FFF2-40B4-BE49-F238E27FC236}">
              <a16:creationId xmlns:a16="http://schemas.microsoft.com/office/drawing/2014/main" id="{5A65B2D8-89DD-425E-A81A-40DDF2E80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1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141</xdr:row>
      <xdr:rowOff>0</xdr:rowOff>
    </xdr:from>
    <xdr:to>
      <xdr:col>7</xdr:col>
      <xdr:colOff>88900</xdr:colOff>
      <xdr:row>141</xdr:row>
      <xdr:rowOff>50800</xdr:rowOff>
    </xdr:to>
    <xdr:pic>
      <xdr:nvPicPr>
        <xdr:cNvPr id="91" name="圖片 90" descr="https://www.slickcharts.com/img/down.gif">
          <a:extLst>
            <a:ext uri="{FF2B5EF4-FFF2-40B4-BE49-F238E27FC236}">
              <a16:creationId xmlns:a16="http://schemas.microsoft.com/office/drawing/2014/main" id="{57E87717-8AA2-42D3-9FD5-77CADEB0A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31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151</xdr:row>
      <xdr:rowOff>0</xdr:rowOff>
    </xdr:from>
    <xdr:to>
      <xdr:col>7</xdr:col>
      <xdr:colOff>88900</xdr:colOff>
      <xdr:row>151</xdr:row>
      <xdr:rowOff>50800</xdr:rowOff>
    </xdr:to>
    <xdr:pic>
      <xdr:nvPicPr>
        <xdr:cNvPr id="92" name="圖片 91" descr="https://www.slickcharts.com/img/up.gif">
          <a:extLst>
            <a:ext uri="{FF2B5EF4-FFF2-40B4-BE49-F238E27FC236}">
              <a16:creationId xmlns:a16="http://schemas.microsoft.com/office/drawing/2014/main" id="{E1C0DBEF-13FA-4831-B4F4-A0846869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46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88900</xdr:colOff>
      <xdr:row>126</xdr:row>
      <xdr:rowOff>50800</xdr:rowOff>
    </xdr:to>
    <xdr:pic>
      <xdr:nvPicPr>
        <xdr:cNvPr id="93" name="圖片 92" descr="https://www.slickcharts.com/img/up.gif">
          <a:extLst>
            <a:ext uri="{FF2B5EF4-FFF2-40B4-BE49-F238E27FC236}">
              <a16:creationId xmlns:a16="http://schemas.microsoft.com/office/drawing/2014/main" id="{8226CB7C-A363-4C26-B2EA-D9626D5A7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62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88900</xdr:colOff>
      <xdr:row>4</xdr:row>
      <xdr:rowOff>50800</xdr:rowOff>
    </xdr:to>
    <xdr:pic>
      <xdr:nvPicPr>
        <xdr:cNvPr id="94" name="圖片 93" descr="https://www.slickcharts.com/img/up.gif">
          <a:extLst>
            <a:ext uri="{FF2B5EF4-FFF2-40B4-BE49-F238E27FC236}">
              <a16:creationId xmlns:a16="http://schemas.microsoft.com/office/drawing/2014/main" id="{D2ED4D90-5A29-4B97-94AD-D38051E3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7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88900</xdr:colOff>
      <xdr:row>87</xdr:row>
      <xdr:rowOff>50800</xdr:rowOff>
    </xdr:to>
    <xdr:pic>
      <xdr:nvPicPr>
        <xdr:cNvPr id="95" name="圖片 94" descr="https://www.slickcharts.com/img/down.gif">
          <a:extLst>
            <a:ext uri="{FF2B5EF4-FFF2-40B4-BE49-F238E27FC236}">
              <a16:creationId xmlns:a16="http://schemas.microsoft.com/office/drawing/2014/main" id="{DE2A9CC4-F73A-42E2-93B5-5CF08F927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294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88900</xdr:colOff>
      <xdr:row>29</xdr:row>
      <xdr:rowOff>50800</xdr:rowOff>
    </xdr:to>
    <xdr:pic>
      <xdr:nvPicPr>
        <xdr:cNvPr id="96" name="圖片 95" descr="https://www.slickcharts.com/img/down.gif">
          <a:extLst>
            <a:ext uri="{FF2B5EF4-FFF2-40B4-BE49-F238E27FC236}">
              <a16:creationId xmlns:a16="http://schemas.microsoft.com/office/drawing/2014/main" id="{F67DC386-369D-45CC-A02F-E816412C2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510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88900</xdr:colOff>
      <xdr:row>165</xdr:row>
      <xdr:rowOff>50800</xdr:rowOff>
    </xdr:to>
    <xdr:pic>
      <xdr:nvPicPr>
        <xdr:cNvPr id="97" name="圖片 96" descr="https://www.slickcharts.com/img/up.gif">
          <a:extLst>
            <a:ext uri="{FF2B5EF4-FFF2-40B4-BE49-F238E27FC236}">
              <a16:creationId xmlns:a16="http://schemas.microsoft.com/office/drawing/2014/main" id="{277B1992-1BEE-4491-A3EE-ADADD15A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726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88900</xdr:colOff>
      <xdr:row>166</xdr:row>
      <xdr:rowOff>50800</xdr:rowOff>
    </xdr:to>
    <xdr:pic>
      <xdr:nvPicPr>
        <xdr:cNvPr id="98" name="圖片 97" descr="https://www.slickcharts.com/img/up.gif">
          <a:extLst>
            <a:ext uri="{FF2B5EF4-FFF2-40B4-BE49-F238E27FC236}">
              <a16:creationId xmlns:a16="http://schemas.microsoft.com/office/drawing/2014/main" id="{5A2D58F6-4284-484E-902E-1D451A8D2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94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88900</xdr:colOff>
      <xdr:row>167</xdr:row>
      <xdr:rowOff>50800</xdr:rowOff>
    </xdr:to>
    <xdr:pic>
      <xdr:nvPicPr>
        <xdr:cNvPr id="99" name="圖片 98" descr="https://www.slickcharts.com/img/up.gif">
          <a:extLst>
            <a:ext uri="{FF2B5EF4-FFF2-40B4-BE49-F238E27FC236}">
              <a16:creationId xmlns:a16="http://schemas.microsoft.com/office/drawing/2014/main" id="{472CFBF8-DCC4-47B6-9702-D20D831D5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158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88900</xdr:colOff>
      <xdr:row>168</xdr:row>
      <xdr:rowOff>50800</xdr:rowOff>
    </xdr:to>
    <xdr:pic>
      <xdr:nvPicPr>
        <xdr:cNvPr id="100" name="圖片 99" descr="https://www.slickcharts.com/img/up.gif">
          <a:extLst>
            <a:ext uri="{FF2B5EF4-FFF2-40B4-BE49-F238E27FC236}">
              <a16:creationId xmlns:a16="http://schemas.microsoft.com/office/drawing/2014/main" id="{8C2E18DC-F88A-4C5D-94EE-48BE10988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374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88900</xdr:colOff>
      <xdr:row>169</xdr:row>
      <xdr:rowOff>50800</xdr:rowOff>
    </xdr:to>
    <xdr:pic>
      <xdr:nvPicPr>
        <xdr:cNvPr id="101" name="圖片 100" descr="https://www.slickcharts.com/img/up.gif">
          <a:extLst>
            <a:ext uri="{FF2B5EF4-FFF2-40B4-BE49-F238E27FC236}">
              <a16:creationId xmlns:a16="http://schemas.microsoft.com/office/drawing/2014/main" id="{34519C2A-1A32-44BD-AAD0-36DC85F19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590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88900</xdr:colOff>
      <xdr:row>170</xdr:row>
      <xdr:rowOff>50800</xdr:rowOff>
    </xdr:to>
    <xdr:pic>
      <xdr:nvPicPr>
        <xdr:cNvPr id="102" name="圖片 101" descr="https://www.slickcharts.com/img/up.gif">
          <a:extLst>
            <a:ext uri="{FF2B5EF4-FFF2-40B4-BE49-F238E27FC236}">
              <a16:creationId xmlns:a16="http://schemas.microsoft.com/office/drawing/2014/main" id="{52386035-8328-49DA-88BA-646B8BBC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80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88900</xdr:colOff>
      <xdr:row>171</xdr:row>
      <xdr:rowOff>50800</xdr:rowOff>
    </xdr:to>
    <xdr:pic>
      <xdr:nvPicPr>
        <xdr:cNvPr id="103" name="圖片 102" descr="https://www.slickcharts.com/img/up.gif">
          <a:extLst>
            <a:ext uri="{FF2B5EF4-FFF2-40B4-BE49-F238E27FC236}">
              <a16:creationId xmlns:a16="http://schemas.microsoft.com/office/drawing/2014/main" id="{10FE2164-6780-4153-96FB-D206FB07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21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88900</xdr:colOff>
      <xdr:row>88</xdr:row>
      <xdr:rowOff>50800</xdr:rowOff>
    </xdr:to>
    <xdr:pic>
      <xdr:nvPicPr>
        <xdr:cNvPr id="104" name="圖片 103" descr="https://www.slickcharts.com/img/up.gif">
          <a:extLst>
            <a:ext uri="{FF2B5EF4-FFF2-40B4-BE49-F238E27FC236}">
              <a16:creationId xmlns:a16="http://schemas.microsoft.com/office/drawing/2014/main" id="{4AA3BF60-2458-4DC0-A993-BE82D4828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237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88900</xdr:colOff>
      <xdr:row>105</xdr:row>
      <xdr:rowOff>50800</xdr:rowOff>
    </xdr:to>
    <xdr:pic>
      <xdr:nvPicPr>
        <xdr:cNvPr id="105" name="圖片 104" descr="https://www.slickcharts.com/img/up.gif">
          <a:extLst>
            <a:ext uri="{FF2B5EF4-FFF2-40B4-BE49-F238E27FC236}">
              <a16:creationId xmlns:a16="http://schemas.microsoft.com/office/drawing/2014/main" id="{EB9485D1-EFE0-468E-B256-9C7666CA2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453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88900</xdr:colOff>
      <xdr:row>30</xdr:row>
      <xdr:rowOff>50800</xdr:rowOff>
    </xdr:to>
    <xdr:pic>
      <xdr:nvPicPr>
        <xdr:cNvPr id="106" name="圖片 105" descr="https://www.slickcharts.com/img/up.gif">
          <a:extLst>
            <a:ext uri="{FF2B5EF4-FFF2-40B4-BE49-F238E27FC236}">
              <a16:creationId xmlns:a16="http://schemas.microsoft.com/office/drawing/2014/main" id="{B08E0E2E-68CE-4284-A519-C11FA92A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66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88900</xdr:colOff>
      <xdr:row>172</xdr:row>
      <xdr:rowOff>50800</xdr:rowOff>
    </xdr:to>
    <xdr:pic>
      <xdr:nvPicPr>
        <xdr:cNvPr id="107" name="圖片 106" descr="https://www.slickcharts.com/img/down.gif">
          <a:extLst>
            <a:ext uri="{FF2B5EF4-FFF2-40B4-BE49-F238E27FC236}">
              <a16:creationId xmlns:a16="http://schemas.microsoft.com/office/drawing/2014/main" id="{8DD250E2-35FA-4064-AFC8-F79D3EB17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885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88900</xdr:colOff>
      <xdr:row>173</xdr:row>
      <xdr:rowOff>50800</xdr:rowOff>
    </xdr:to>
    <xdr:pic>
      <xdr:nvPicPr>
        <xdr:cNvPr id="108" name="圖片 107" descr="https://www.slickcharts.com/img/up.gif">
          <a:extLst>
            <a:ext uri="{FF2B5EF4-FFF2-40B4-BE49-F238E27FC236}">
              <a16:creationId xmlns:a16="http://schemas.microsoft.com/office/drawing/2014/main" id="{09078285-D3D2-42AF-861D-B6E18F98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101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88900</xdr:colOff>
      <xdr:row>174</xdr:row>
      <xdr:rowOff>50800</xdr:rowOff>
    </xdr:to>
    <xdr:pic>
      <xdr:nvPicPr>
        <xdr:cNvPr id="109" name="圖片 108" descr="https://www.slickcharts.com/img/up.gif">
          <a:extLst>
            <a:ext uri="{FF2B5EF4-FFF2-40B4-BE49-F238E27FC236}">
              <a16:creationId xmlns:a16="http://schemas.microsoft.com/office/drawing/2014/main" id="{5E89E0B1-E263-4C4B-A660-8BA29BE3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317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88900</xdr:colOff>
      <xdr:row>175</xdr:row>
      <xdr:rowOff>50800</xdr:rowOff>
    </xdr:to>
    <xdr:pic>
      <xdr:nvPicPr>
        <xdr:cNvPr id="110" name="圖片 109" descr="https://www.slickcharts.com/img/up.gif">
          <a:extLst>
            <a:ext uri="{FF2B5EF4-FFF2-40B4-BE49-F238E27FC236}">
              <a16:creationId xmlns:a16="http://schemas.microsoft.com/office/drawing/2014/main" id="{9FEDD9A2-9858-4A3E-808E-5E36DCF92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53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88900</xdr:colOff>
      <xdr:row>106</xdr:row>
      <xdr:rowOff>50800</xdr:rowOff>
    </xdr:to>
    <xdr:pic>
      <xdr:nvPicPr>
        <xdr:cNvPr id="111" name="圖片 110" descr="https://www.slickcharts.com/img/up.gif">
          <a:extLst>
            <a:ext uri="{FF2B5EF4-FFF2-40B4-BE49-F238E27FC236}">
              <a16:creationId xmlns:a16="http://schemas.microsoft.com/office/drawing/2014/main" id="{5D41B470-36CB-485F-95D9-3001A65EC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749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88900</xdr:colOff>
      <xdr:row>176</xdr:row>
      <xdr:rowOff>50800</xdr:rowOff>
    </xdr:to>
    <xdr:pic>
      <xdr:nvPicPr>
        <xdr:cNvPr id="112" name="圖片 111" descr="https://www.slickcharts.com/img/up.gif">
          <a:extLst>
            <a:ext uri="{FF2B5EF4-FFF2-40B4-BE49-F238E27FC236}">
              <a16:creationId xmlns:a16="http://schemas.microsoft.com/office/drawing/2014/main" id="{3859D869-C55B-4021-A31F-C677CF41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964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88900</xdr:colOff>
      <xdr:row>5</xdr:row>
      <xdr:rowOff>50800</xdr:rowOff>
    </xdr:to>
    <xdr:pic>
      <xdr:nvPicPr>
        <xdr:cNvPr id="113" name="圖片 112" descr="https://www.slickcharts.com/img/down.gif">
          <a:extLst>
            <a:ext uri="{FF2B5EF4-FFF2-40B4-BE49-F238E27FC236}">
              <a16:creationId xmlns:a16="http://schemas.microsoft.com/office/drawing/2014/main" id="{0C494063-1544-4343-9197-60DFEBB30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180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88900</xdr:colOff>
      <xdr:row>107</xdr:row>
      <xdr:rowOff>50800</xdr:rowOff>
    </xdr:to>
    <xdr:pic>
      <xdr:nvPicPr>
        <xdr:cNvPr id="114" name="圖片 113" descr="https://www.slickcharts.com/img/down.gif">
          <a:extLst>
            <a:ext uri="{FF2B5EF4-FFF2-40B4-BE49-F238E27FC236}">
              <a16:creationId xmlns:a16="http://schemas.microsoft.com/office/drawing/2014/main" id="{484F13F0-E50F-4DAD-9E12-B647EA06E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39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88900</xdr:colOff>
      <xdr:row>177</xdr:row>
      <xdr:rowOff>50800</xdr:rowOff>
    </xdr:to>
    <xdr:pic>
      <xdr:nvPicPr>
        <xdr:cNvPr id="115" name="圖片 114" descr="https://www.slickcharts.com/img/up.gif">
          <a:extLst>
            <a:ext uri="{FF2B5EF4-FFF2-40B4-BE49-F238E27FC236}">
              <a16:creationId xmlns:a16="http://schemas.microsoft.com/office/drawing/2014/main" id="{D6BB22FA-26C1-43D0-B31E-40FA2A79E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612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88900</xdr:colOff>
      <xdr:row>178</xdr:row>
      <xdr:rowOff>50800</xdr:rowOff>
    </xdr:to>
    <xdr:pic>
      <xdr:nvPicPr>
        <xdr:cNvPr id="116" name="圖片 115" descr="https://www.slickcharts.com/img/up.gif">
          <a:extLst>
            <a:ext uri="{FF2B5EF4-FFF2-40B4-BE49-F238E27FC236}">
              <a16:creationId xmlns:a16="http://schemas.microsoft.com/office/drawing/2014/main" id="{94E8778E-C1B0-4531-964F-3846D6BA2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828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152</xdr:row>
      <xdr:rowOff>0</xdr:rowOff>
    </xdr:from>
    <xdr:to>
      <xdr:col>7</xdr:col>
      <xdr:colOff>88900</xdr:colOff>
      <xdr:row>152</xdr:row>
      <xdr:rowOff>50800</xdr:rowOff>
    </xdr:to>
    <xdr:pic>
      <xdr:nvPicPr>
        <xdr:cNvPr id="117" name="圖片 116" descr="https://www.slickcharts.com/img/up.gif">
          <a:extLst>
            <a:ext uri="{FF2B5EF4-FFF2-40B4-BE49-F238E27FC236}">
              <a16:creationId xmlns:a16="http://schemas.microsoft.com/office/drawing/2014/main" id="{426EA8D9-0054-4D33-9396-8506FA007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044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88900</xdr:colOff>
      <xdr:row>179</xdr:row>
      <xdr:rowOff>50800</xdr:rowOff>
    </xdr:to>
    <xdr:pic>
      <xdr:nvPicPr>
        <xdr:cNvPr id="118" name="圖片 117" descr="https://www.slickcharts.com/img/up.gif">
          <a:extLst>
            <a:ext uri="{FF2B5EF4-FFF2-40B4-BE49-F238E27FC236}">
              <a16:creationId xmlns:a16="http://schemas.microsoft.com/office/drawing/2014/main" id="{F2DC9644-5823-475A-9A2E-7760BB8C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26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88900</xdr:colOff>
      <xdr:row>180</xdr:row>
      <xdr:rowOff>50800</xdr:rowOff>
    </xdr:to>
    <xdr:pic>
      <xdr:nvPicPr>
        <xdr:cNvPr id="119" name="圖片 118" descr="https://www.slickcharts.com/img/up.gif">
          <a:extLst>
            <a:ext uri="{FF2B5EF4-FFF2-40B4-BE49-F238E27FC236}">
              <a16:creationId xmlns:a16="http://schemas.microsoft.com/office/drawing/2014/main" id="{C87A65C2-5AF6-4B02-B443-967D0CE4B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476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108</xdr:row>
      <xdr:rowOff>0</xdr:rowOff>
    </xdr:from>
    <xdr:to>
      <xdr:col>7</xdr:col>
      <xdr:colOff>88900</xdr:colOff>
      <xdr:row>108</xdr:row>
      <xdr:rowOff>50800</xdr:rowOff>
    </xdr:to>
    <xdr:pic>
      <xdr:nvPicPr>
        <xdr:cNvPr id="120" name="圖片 119" descr="https://www.slickcharts.com/img/up.gif">
          <a:extLst>
            <a:ext uri="{FF2B5EF4-FFF2-40B4-BE49-F238E27FC236}">
              <a16:creationId xmlns:a16="http://schemas.microsoft.com/office/drawing/2014/main" id="{C7A0D531-0BB8-4F68-BD40-D5DA235B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692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88900</xdr:colOff>
      <xdr:row>109</xdr:row>
      <xdr:rowOff>50800</xdr:rowOff>
    </xdr:to>
    <xdr:pic>
      <xdr:nvPicPr>
        <xdr:cNvPr id="121" name="圖片 120" descr="https://www.slickcharts.com/img/down.gif">
          <a:extLst>
            <a:ext uri="{FF2B5EF4-FFF2-40B4-BE49-F238E27FC236}">
              <a16:creationId xmlns:a16="http://schemas.microsoft.com/office/drawing/2014/main" id="{71BAACD8-BCC1-4ABD-A7C6-7397C201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908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88900</xdr:colOff>
      <xdr:row>181</xdr:row>
      <xdr:rowOff>50800</xdr:rowOff>
    </xdr:to>
    <xdr:pic>
      <xdr:nvPicPr>
        <xdr:cNvPr id="122" name="圖片 121" descr="https://www.slickcharts.com/img/up.gif">
          <a:extLst>
            <a:ext uri="{FF2B5EF4-FFF2-40B4-BE49-F238E27FC236}">
              <a16:creationId xmlns:a16="http://schemas.microsoft.com/office/drawing/2014/main" id="{0E3B78AF-6106-4359-9483-846969F3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12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88900</xdr:colOff>
      <xdr:row>31</xdr:row>
      <xdr:rowOff>50800</xdr:rowOff>
    </xdr:to>
    <xdr:pic>
      <xdr:nvPicPr>
        <xdr:cNvPr id="123" name="圖片 122" descr="https://www.slickcharts.com/img/up.gif">
          <a:extLst>
            <a:ext uri="{FF2B5EF4-FFF2-40B4-BE49-F238E27FC236}">
              <a16:creationId xmlns:a16="http://schemas.microsoft.com/office/drawing/2014/main" id="{D9B79342-1184-4099-83A4-8D0905F54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339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88900</xdr:colOff>
      <xdr:row>32</xdr:row>
      <xdr:rowOff>50800</xdr:rowOff>
    </xdr:to>
    <xdr:pic>
      <xdr:nvPicPr>
        <xdr:cNvPr id="124" name="圖片 123" descr="https://www.slickcharts.com/img/up.gif">
          <a:extLst>
            <a:ext uri="{FF2B5EF4-FFF2-40B4-BE49-F238E27FC236}">
              <a16:creationId xmlns:a16="http://schemas.microsoft.com/office/drawing/2014/main" id="{234B97C4-A155-4816-A80D-2B3E9467A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555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88900</xdr:colOff>
      <xdr:row>182</xdr:row>
      <xdr:rowOff>50800</xdr:rowOff>
    </xdr:to>
    <xdr:pic>
      <xdr:nvPicPr>
        <xdr:cNvPr id="125" name="圖片 124" descr="https://www.slickcharts.com/img/up.gif">
          <a:extLst>
            <a:ext uri="{FF2B5EF4-FFF2-40B4-BE49-F238E27FC236}">
              <a16:creationId xmlns:a16="http://schemas.microsoft.com/office/drawing/2014/main" id="{FFF21F10-1590-460E-80B9-C0F1DBB49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771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88900</xdr:colOff>
      <xdr:row>183</xdr:row>
      <xdr:rowOff>50800</xdr:rowOff>
    </xdr:to>
    <xdr:pic>
      <xdr:nvPicPr>
        <xdr:cNvPr id="126" name="圖片 125" descr="https://www.slickcharts.com/img/up.gif">
          <a:extLst>
            <a:ext uri="{FF2B5EF4-FFF2-40B4-BE49-F238E27FC236}">
              <a16:creationId xmlns:a16="http://schemas.microsoft.com/office/drawing/2014/main" id="{3C238CE1-12DF-44A1-909A-6054CA0FF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98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0</xdr:rowOff>
    </xdr:from>
    <xdr:to>
      <xdr:col>7</xdr:col>
      <xdr:colOff>88900</xdr:colOff>
      <xdr:row>89</xdr:row>
      <xdr:rowOff>50800</xdr:rowOff>
    </xdr:to>
    <xdr:pic>
      <xdr:nvPicPr>
        <xdr:cNvPr id="127" name="圖片 126" descr="https://www.slickcharts.com/img/up.gif">
          <a:extLst>
            <a:ext uri="{FF2B5EF4-FFF2-40B4-BE49-F238E27FC236}">
              <a16:creationId xmlns:a16="http://schemas.microsoft.com/office/drawing/2014/main" id="{624A9F72-1F2D-4003-A295-A99F59179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203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88900</xdr:colOff>
      <xdr:row>184</xdr:row>
      <xdr:rowOff>50800</xdr:rowOff>
    </xdr:to>
    <xdr:pic>
      <xdr:nvPicPr>
        <xdr:cNvPr id="128" name="圖片 127" descr="https://www.slickcharts.com/img/up.gif">
          <a:extLst>
            <a:ext uri="{FF2B5EF4-FFF2-40B4-BE49-F238E27FC236}">
              <a16:creationId xmlns:a16="http://schemas.microsoft.com/office/drawing/2014/main" id="{AB5835E4-22FA-485D-9157-03DDDF09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419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88900</xdr:colOff>
      <xdr:row>50</xdr:row>
      <xdr:rowOff>50800</xdr:rowOff>
    </xdr:to>
    <xdr:pic>
      <xdr:nvPicPr>
        <xdr:cNvPr id="129" name="圖片 128" descr="https://www.slickcharts.com/img/down.gif">
          <a:extLst>
            <a:ext uri="{FF2B5EF4-FFF2-40B4-BE49-F238E27FC236}">
              <a16:creationId xmlns:a16="http://schemas.microsoft.com/office/drawing/2014/main" id="{4197FDCB-616E-4995-AF62-088DAE00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635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88900</xdr:colOff>
      <xdr:row>185</xdr:row>
      <xdr:rowOff>50800</xdr:rowOff>
    </xdr:to>
    <xdr:pic>
      <xdr:nvPicPr>
        <xdr:cNvPr id="130" name="圖片 129" descr="https://www.slickcharts.com/img/down.gif">
          <a:extLst>
            <a:ext uri="{FF2B5EF4-FFF2-40B4-BE49-F238E27FC236}">
              <a16:creationId xmlns:a16="http://schemas.microsoft.com/office/drawing/2014/main" id="{F62D1FFA-E203-43E4-BCFC-BC5A21C6A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85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88900</xdr:colOff>
      <xdr:row>6</xdr:row>
      <xdr:rowOff>50800</xdr:rowOff>
    </xdr:to>
    <xdr:pic>
      <xdr:nvPicPr>
        <xdr:cNvPr id="131" name="圖片 130" descr="https://www.slickcharts.com/img/up.gif">
          <a:extLst>
            <a:ext uri="{FF2B5EF4-FFF2-40B4-BE49-F238E27FC236}">
              <a16:creationId xmlns:a16="http://schemas.microsoft.com/office/drawing/2014/main" id="{4E69C569-67E4-4868-AE4B-98C4259FC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67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88900</xdr:colOff>
      <xdr:row>90</xdr:row>
      <xdr:rowOff>50800</xdr:rowOff>
    </xdr:to>
    <xdr:pic>
      <xdr:nvPicPr>
        <xdr:cNvPr id="132" name="圖片 131" descr="https://www.slickcharts.com/img/up.gif">
          <a:extLst>
            <a:ext uri="{FF2B5EF4-FFF2-40B4-BE49-F238E27FC236}">
              <a16:creationId xmlns:a16="http://schemas.microsoft.com/office/drawing/2014/main" id="{8883E34A-9C06-4600-86CA-47E870541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282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88900</xdr:colOff>
      <xdr:row>186</xdr:row>
      <xdr:rowOff>50800</xdr:rowOff>
    </xdr:to>
    <xdr:pic>
      <xdr:nvPicPr>
        <xdr:cNvPr id="133" name="圖片 132" descr="https://www.slickcharts.com/img/up.gif">
          <a:extLst>
            <a:ext uri="{FF2B5EF4-FFF2-40B4-BE49-F238E27FC236}">
              <a16:creationId xmlns:a16="http://schemas.microsoft.com/office/drawing/2014/main" id="{55C8A6D7-6649-46A9-9099-6920B530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498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88900</xdr:colOff>
      <xdr:row>187</xdr:row>
      <xdr:rowOff>50800</xdr:rowOff>
    </xdr:to>
    <xdr:pic>
      <xdr:nvPicPr>
        <xdr:cNvPr id="134" name="圖片 133" descr="https://www.slickcharts.com/img/up.gif">
          <a:extLst>
            <a:ext uri="{FF2B5EF4-FFF2-40B4-BE49-F238E27FC236}">
              <a16:creationId xmlns:a16="http://schemas.microsoft.com/office/drawing/2014/main" id="{634A5AC8-BF47-4992-A25B-01335F53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71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88900</xdr:colOff>
      <xdr:row>188</xdr:row>
      <xdr:rowOff>50800</xdr:rowOff>
    </xdr:to>
    <xdr:pic>
      <xdr:nvPicPr>
        <xdr:cNvPr id="135" name="圖片 134" descr="https://www.slickcharts.com/img/up.gif">
          <a:extLst>
            <a:ext uri="{FF2B5EF4-FFF2-40B4-BE49-F238E27FC236}">
              <a16:creationId xmlns:a16="http://schemas.microsoft.com/office/drawing/2014/main" id="{49FDC618-A2EB-452B-90DB-470B6A5E9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930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153</xdr:row>
      <xdr:rowOff>0</xdr:rowOff>
    </xdr:from>
    <xdr:to>
      <xdr:col>7</xdr:col>
      <xdr:colOff>88900</xdr:colOff>
      <xdr:row>153</xdr:row>
      <xdr:rowOff>50800</xdr:rowOff>
    </xdr:to>
    <xdr:pic>
      <xdr:nvPicPr>
        <xdr:cNvPr id="136" name="圖片 135" descr="https://www.slickcharts.com/img/up.gif">
          <a:extLst>
            <a:ext uri="{FF2B5EF4-FFF2-40B4-BE49-F238E27FC236}">
              <a16:creationId xmlns:a16="http://schemas.microsoft.com/office/drawing/2014/main" id="{9047DEAC-FFE0-43B2-BA94-5141CACC8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146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88900</xdr:colOff>
      <xdr:row>33</xdr:row>
      <xdr:rowOff>50800</xdr:rowOff>
    </xdr:to>
    <xdr:pic>
      <xdr:nvPicPr>
        <xdr:cNvPr id="137" name="圖片 136" descr="https://www.slickcharts.com/img/up.gif">
          <a:extLst>
            <a:ext uri="{FF2B5EF4-FFF2-40B4-BE49-F238E27FC236}">
              <a16:creationId xmlns:a16="http://schemas.microsoft.com/office/drawing/2014/main" id="{8DDD00F6-4A96-4338-8392-EE4BD9025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362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88900</xdr:colOff>
      <xdr:row>189</xdr:row>
      <xdr:rowOff>50800</xdr:rowOff>
    </xdr:to>
    <xdr:pic>
      <xdr:nvPicPr>
        <xdr:cNvPr id="138" name="圖片 137" descr="https://www.slickcharts.com/img/up.gif">
          <a:extLst>
            <a:ext uri="{FF2B5EF4-FFF2-40B4-BE49-F238E27FC236}">
              <a16:creationId xmlns:a16="http://schemas.microsoft.com/office/drawing/2014/main" id="{62D3B4F6-696F-4740-9762-E263E60F4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57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88900</xdr:colOff>
      <xdr:row>110</xdr:row>
      <xdr:rowOff>50800</xdr:rowOff>
    </xdr:to>
    <xdr:pic>
      <xdr:nvPicPr>
        <xdr:cNvPr id="139" name="圖片 138" descr="https://www.slickcharts.com/img/up.gif">
          <a:extLst>
            <a:ext uri="{FF2B5EF4-FFF2-40B4-BE49-F238E27FC236}">
              <a16:creationId xmlns:a16="http://schemas.microsoft.com/office/drawing/2014/main" id="{C8FF5652-063A-48F9-BC59-79C2B677A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794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88900</xdr:colOff>
      <xdr:row>34</xdr:row>
      <xdr:rowOff>50800</xdr:rowOff>
    </xdr:to>
    <xdr:pic>
      <xdr:nvPicPr>
        <xdr:cNvPr id="140" name="圖片 139" descr="https://www.slickcharts.com/img/up.gif">
          <a:extLst>
            <a:ext uri="{FF2B5EF4-FFF2-40B4-BE49-F238E27FC236}">
              <a16:creationId xmlns:a16="http://schemas.microsoft.com/office/drawing/2014/main" id="{69BE6D3A-96E2-4AA2-9CD9-8D923992F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010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154</xdr:row>
      <xdr:rowOff>0</xdr:rowOff>
    </xdr:from>
    <xdr:to>
      <xdr:col>7</xdr:col>
      <xdr:colOff>88900</xdr:colOff>
      <xdr:row>154</xdr:row>
      <xdr:rowOff>50800</xdr:rowOff>
    </xdr:to>
    <xdr:pic>
      <xdr:nvPicPr>
        <xdr:cNvPr id="141" name="圖片 140" descr="https://www.slickcharts.com/img/up.gif">
          <a:extLst>
            <a:ext uri="{FF2B5EF4-FFF2-40B4-BE49-F238E27FC236}">
              <a16:creationId xmlns:a16="http://schemas.microsoft.com/office/drawing/2014/main" id="{B4047DCB-B146-40AD-9770-630F1318D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226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88900</xdr:colOff>
      <xdr:row>190</xdr:row>
      <xdr:rowOff>50800</xdr:rowOff>
    </xdr:to>
    <xdr:pic>
      <xdr:nvPicPr>
        <xdr:cNvPr id="142" name="圖片 141" descr="https://www.slickcharts.com/img/up.gif">
          <a:extLst>
            <a:ext uri="{FF2B5EF4-FFF2-40B4-BE49-F238E27FC236}">
              <a16:creationId xmlns:a16="http://schemas.microsoft.com/office/drawing/2014/main" id="{0612818A-8AA1-41A6-8125-E0DF9E3CA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44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88900</xdr:colOff>
      <xdr:row>191</xdr:row>
      <xdr:rowOff>50800</xdr:rowOff>
    </xdr:to>
    <xdr:pic>
      <xdr:nvPicPr>
        <xdr:cNvPr id="143" name="圖片 142" descr="https://www.slickcharts.com/img/up.gif">
          <a:extLst>
            <a:ext uri="{FF2B5EF4-FFF2-40B4-BE49-F238E27FC236}">
              <a16:creationId xmlns:a16="http://schemas.microsoft.com/office/drawing/2014/main" id="{148A816B-70AC-43E9-A766-12598155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657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88900</xdr:colOff>
      <xdr:row>192</xdr:row>
      <xdr:rowOff>50800</xdr:rowOff>
    </xdr:to>
    <xdr:pic>
      <xdr:nvPicPr>
        <xdr:cNvPr id="144" name="圖片 143" descr="https://www.slickcharts.com/img/up.gif">
          <a:extLst>
            <a:ext uri="{FF2B5EF4-FFF2-40B4-BE49-F238E27FC236}">
              <a16:creationId xmlns:a16="http://schemas.microsoft.com/office/drawing/2014/main" id="{2ADE5D21-6C36-4747-A8AB-9D075979E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873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88900</xdr:colOff>
      <xdr:row>35</xdr:row>
      <xdr:rowOff>50800</xdr:rowOff>
    </xdr:to>
    <xdr:pic>
      <xdr:nvPicPr>
        <xdr:cNvPr id="145" name="圖片 144" descr="https://www.slickcharts.com/img/up.gif">
          <a:extLst>
            <a:ext uri="{FF2B5EF4-FFF2-40B4-BE49-F238E27FC236}">
              <a16:creationId xmlns:a16="http://schemas.microsoft.com/office/drawing/2014/main" id="{ED1DA09D-4DBE-4F94-9CA2-1B5D07C84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089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88900</xdr:colOff>
      <xdr:row>193</xdr:row>
      <xdr:rowOff>50800</xdr:rowOff>
    </xdr:to>
    <xdr:pic>
      <xdr:nvPicPr>
        <xdr:cNvPr id="146" name="圖片 145" descr="https://www.slickcharts.com/img/up.gif">
          <a:extLst>
            <a:ext uri="{FF2B5EF4-FFF2-40B4-BE49-F238E27FC236}">
              <a16:creationId xmlns:a16="http://schemas.microsoft.com/office/drawing/2014/main" id="{96CA3B0C-1DBE-4E5F-92A7-ADEF4033A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30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88900</xdr:colOff>
      <xdr:row>51</xdr:row>
      <xdr:rowOff>50800</xdr:rowOff>
    </xdr:to>
    <xdr:pic>
      <xdr:nvPicPr>
        <xdr:cNvPr id="147" name="圖片 146" descr="https://www.slickcharts.com/img/up.gif">
          <a:extLst>
            <a:ext uri="{FF2B5EF4-FFF2-40B4-BE49-F238E27FC236}">
              <a16:creationId xmlns:a16="http://schemas.microsoft.com/office/drawing/2014/main" id="{09B0BF27-6983-4D6E-ADDC-C847A493A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521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88900</xdr:colOff>
      <xdr:row>194</xdr:row>
      <xdr:rowOff>50800</xdr:rowOff>
    </xdr:to>
    <xdr:pic>
      <xdr:nvPicPr>
        <xdr:cNvPr id="148" name="圖片 147" descr="https://www.slickcharts.com/img/up.gif">
          <a:extLst>
            <a:ext uri="{FF2B5EF4-FFF2-40B4-BE49-F238E27FC236}">
              <a16:creationId xmlns:a16="http://schemas.microsoft.com/office/drawing/2014/main" id="{54784334-1F9D-4431-BD78-DF1ABD691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737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88900</xdr:colOff>
      <xdr:row>39</xdr:row>
      <xdr:rowOff>50800</xdr:rowOff>
    </xdr:to>
    <xdr:pic>
      <xdr:nvPicPr>
        <xdr:cNvPr id="149" name="圖片 148" descr="https://www.slickcharts.com/img/down.gif">
          <a:extLst>
            <a:ext uri="{FF2B5EF4-FFF2-40B4-BE49-F238E27FC236}">
              <a16:creationId xmlns:a16="http://schemas.microsoft.com/office/drawing/2014/main" id="{0ABE3E54-D644-495D-9E87-952E1F11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953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88900</xdr:colOff>
      <xdr:row>111</xdr:row>
      <xdr:rowOff>50800</xdr:rowOff>
    </xdr:to>
    <xdr:pic>
      <xdr:nvPicPr>
        <xdr:cNvPr id="150" name="圖片 149" descr="https://www.slickcharts.com/img/up.gif">
          <a:extLst>
            <a:ext uri="{FF2B5EF4-FFF2-40B4-BE49-F238E27FC236}">
              <a16:creationId xmlns:a16="http://schemas.microsoft.com/office/drawing/2014/main" id="{8CA53F16-4ADA-4AEC-A439-757CE807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16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88900</xdr:colOff>
      <xdr:row>195</xdr:row>
      <xdr:rowOff>50800</xdr:rowOff>
    </xdr:to>
    <xdr:pic>
      <xdr:nvPicPr>
        <xdr:cNvPr id="151" name="圖片 150" descr="https://www.slickcharts.com/img/up.gif">
          <a:extLst>
            <a:ext uri="{FF2B5EF4-FFF2-40B4-BE49-F238E27FC236}">
              <a16:creationId xmlns:a16="http://schemas.microsoft.com/office/drawing/2014/main" id="{25E0ABBE-1CA0-4CF8-846C-695DA1BF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385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88900</xdr:colOff>
      <xdr:row>196</xdr:row>
      <xdr:rowOff>50800</xdr:rowOff>
    </xdr:to>
    <xdr:pic>
      <xdr:nvPicPr>
        <xdr:cNvPr id="152" name="圖片 151" descr="https://www.slickcharts.com/img/down.gif">
          <a:extLst>
            <a:ext uri="{FF2B5EF4-FFF2-40B4-BE49-F238E27FC236}">
              <a16:creationId xmlns:a16="http://schemas.microsoft.com/office/drawing/2014/main" id="{3C4E50DA-9470-4A5A-A80C-15D807583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600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88900</xdr:colOff>
      <xdr:row>197</xdr:row>
      <xdr:rowOff>50800</xdr:rowOff>
    </xdr:to>
    <xdr:pic>
      <xdr:nvPicPr>
        <xdr:cNvPr id="153" name="圖片 152" descr="https://www.slickcharts.com/img/up.gif">
          <a:extLst>
            <a:ext uri="{FF2B5EF4-FFF2-40B4-BE49-F238E27FC236}">
              <a16:creationId xmlns:a16="http://schemas.microsoft.com/office/drawing/2014/main" id="{EE221170-968F-408B-81A6-1C222E15A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816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88900</xdr:colOff>
      <xdr:row>52</xdr:row>
      <xdr:rowOff>50800</xdr:rowOff>
    </xdr:to>
    <xdr:pic>
      <xdr:nvPicPr>
        <xdr:cNvPr id="154" name="圖片 153" descr="https://www.slickcharts.com/img/up.gif">
          <a:extLst>
            <a:ext uri="{FF2B5EF4-FFF2-40B4-BE49-F238E27FC236}">
              <a16:creationId xmlns:a16="http://schemas.microsoft.com/office/drawing/2014/main" id="{8CC10E0D-2500-481E-9B66-3FCE792CB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03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88900</xdr:colOff>
      <xdr:row>198</xdr:row>
      <xdr:rowOff>50800</xdr:rowOff>
    </xdr:to>
    <xdr:pic>
      <xdr:nvPicPr>
        <xdr:cNvPr id="155" name="圖片 154" descr="https://www.slickcharts.com/img/up.gif">
          <a:extLst>
            <a:ext uri="{FF2B5EF4-FFF2-40B4-BE49-F238E27FC236}">
              <a16:creationId xmlns:a16="http://schemas.microsoft.com/office/drawing/2014/main" id="{F89479BE-8409-44A8-845D-2EDB8915C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248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88900</xdr:colOff>
      <xdr:row>199</xdr:row>
      <xdr:rowOff>50800</xdr:rowOff>
    </xdr:to>
    <xdr:pic>
      <xdr:nvPicPr>
        <xdr:cNvPr id="156" name="圖片 155" descr="https://www.slickcharts.com/img/up.gif">
          <a:extLst>
            <a:ext uri="{FF2B5EF4-FFF2-40B4-BE49-F238E27FC236}">
              <a16:creationId xmlns:a16="http://schemas.microsoft.com/office/drawing/2014/main" id="{53AA6501-58B8-4837-A01E-541AAB607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464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88900</xdr:colOff>
      <xdr:row>200</xdr:row>
      <xdr:rowOff>50800</xdr:rowOff>
    </xdr:to>
    <xdr:pic>
      <xdr:nvPicPr>
        <xdr:cNvPr id="157" name="圖片 156" descr="https://www.slickcharts.com/img/up.gif">
          <a:extLst>
            <a:ext uri="{FF2B5EF4-FFF2-40B4-BE49-F238E27FC236}">
              <a16:creationId xmlns:a16="http://schemas.microsoft.com/office/drawing/2014/main" id="{C49630D9-4C3E-484E-990F-72CAFAB4E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680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88900</xdr:colOff>
      <xdr:row>201</xdr:row>
      <xdr:rowOff>50800</xdr:rowOff>
    </xdr:to>
    <xdr:pic>
      <xdr:nvPicPr>
        <xdr:cNvPr id="158" name="圖片 157" descr="https://www.slickcharts.com/img/up.gif">
          <a:extLst>
            <a:ext uri="{FF2B5EF4-FFF2-40B4-BE49-F238E27FC236}">
              <a16:creationId xmlns:a16="http://schemas.microsoft.com/office/drawing/2014/main" id="{5E1C04C9-DF91-4956-97AF-D182025BE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89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88900</xdr:colOff>
      <xdr:row>202</xdr:row>
      <xdr:rowOff>50800</xdr:rowOff>
    </xdr:to>
    <xdr:pic>
      <xdr:nvPicPr>
        <xdr:cNvPr id="159" name="圖片 158" descr="https://www.slickcharts.com/img/up.gif">
          <a:extLst>
            <a:ext uri="{FF2B5EF4-FFF2-40B4-BE49-F238E27FC236}">
              <a16:creationId xmlns:a16="http://schemas.microsoft.com/office/drawing/2014/main" id="{7C28A729-7894-4B53-8406-39927929F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112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88900</xdr:colOff>
      <xdr:row>203</xdr:row>
      <xdr:rowOff>50800</xdr:rowOff>
    </xdr:to>
    <xdr:pic>
      <xdr:nvPicPr>
        <xdr:cNvPr id="160" name="圖片 159" descr="https://www.slickcharts.com/img/up.gif">
          <a:extLst>
            <a:ext uri="{FF2B5EF4-FFF2-40B4-BE49-F238E27FC236}">
              <a16:creationId xmlns:a16="http://schemas.microsoft.com/office/drawing/2014/main" id="{ECA5FF9A-0BDD-4E69-9EEF-F4DB60DE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328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88900</xdr:colOff>
      <xdr:row>204</xdr:row>
      <xdr:rowOff>50800</xdr:rowOff>
    </xdr:to>
    <xdr:pic>
      <xdr:nvPicPr>
        <xdr:cNvPr id="161" name="圖片 160" descr="https://www.slickcharts.com/img/up.gif">
          <a:extLst>
            <a:ext uri="{FF2B5EF4-FFF2-40B4-BE49-F238E27FC236}">
              <a16:creationId xmlns:a16="http://schemas.microsoft.com/office/drawing/2014/main" id="{11102511-FEC3-412E-98E5-195629BA0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544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88900</xdr:colOff>
      <xdr:row>205</xdr:row>
      <xdr:rowOff>50800</xdr:rowOff>
    </xdr:to>
    <xdr:pic>
      <xdr:nvPicPr>
        <xdr:cNvPr id="162" name="圖片 161" descr="https://www.slickcharts.com/img/up.gif">
          <a:extLst>
            <a:ext uri="{FF2B5EF4-FFF2-40B4-BE49-F238E27FC236}">
              <a16:creationId xmlns:a16="http://schemas.microsoft.com/office/drawing/2014/main" id="{D67FA5E2-066C-4A58-A1B4-E997C467F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75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88900</xdr:colOff>
      <xdr:row>91</xdr:row>
      <xdr:rowOff>50800</xdr:rowOff>
    </xdr:to>
    <xdr:pic>
      <xdr:nvPicPr>
        <xdr:cNvPr id="163" name="圖片 162" descr="https://www.slickcharts.com/img/up.gif">
          <a:extLst>
            <a:ext uri="{FF2B5EF4-FFF2-40B4-BE49-F238E27FC236}">
              <a16:creationId xmlns:a16="http://schemas.microsoft.com/office/drawing/2014/main" id="{047AC15B-D5DB-4784-9520-9EB5160C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975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88900</xdr:colOff>
      <xdr:row>206</xdr:row>
      <xdr:rowOff>50800</xdr:rowOff>
    </xdr:to>
    <xdr:pic>
      <xdr:nvPicPr>
        <xdr:cNvPr id="164" name="圖片 163" descr="https://www.slickcharts.com/img/up.gif">
          <a:extLst>
            <a:ext uri="{FF2B5EF4-FFF2-40B4-BE49-F238E27FC236}">
              <a16:creationId xmlns:a16="http://schemas.microsoft.com/office/drawing/2014/main" id="{C326E0BE-4D2E-49AF-98A2-31EC11F98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191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88900</xdr:colOff>
      <xdr:row>207</xdr:row>
      <xdr:rowOff>50800</xdr:rowOff>
    </xdr:to>
    <xdr:pic>
      <xdr:nvPicPr>
        <xdr:cNvPr id="165" name="圖片 164" descr="https://www.slickcharts.com/img/up.gif">
          <a:extLst>
            <a:ext uri="{FF2B5EF4-FFF2-40B4-BE49-F238E27FC236}">
              <a16:creationId xmlns:a16="http://schemas.microsoft.com/office/drawing/2014/main" id="{940C79D5-0DED-4AAC-AE20-71BA35F1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407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88900</xdr:colOff>
      <xdr:row>208</xdr:row>
      <xdr:rowOff>50800</xdr:rowOff>
    </xdr:to>
    <xdr:pic>
      <xdr:nvPicPr>
        <xdr:cNvPr id="166" name="圖片 165" descr="https://www.slickcharts.com/img/up.gif">
          <a:extLst>
            <a:ext uri="{FF2B5EF4-FFF2-40B4-BE49-F238E27FC236}">
              <a16:creationId xmlns:a16="http://schemas.microsoft.com/office/drawing/2014/main" id="{4833CF81-FE39-414F-8B88-32E03CFC1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62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88900</xdr:colOff>
      <xdr:row>209</xdr:row>
      <xdr:rowOff>50800</xdr:rowOff>
    </xdr:to>
    <xdr:pic>
      <xdr:nvPicPr>
        <xdr:cNvPr id="167" name="圖片 166" descr="https://www.slickcharts.com/img/up.gif">
          <a:extLst>
            <a:ext uri="{FF2B5EF4-FFF2-40B4-BE49-F238E27FC236}">
              <a16:creationId xmlns:a16="http://schemas.microsoft.com/office/drawing/2014/main" id="{5655F1C6-EF91-42FC-AC72-512F3573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839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88900</xdr:colOff>
      <xdr:row>210</xdr:row>
      <xdr:rowOff>50800</xdr:rowOff>
    </xdr:to>
    <xdr:pic>
      <xdr:nvPicPr>
        <xdr:cNvPr id="168" name="圖片 167" descr="https://www.slickcharts.com/img/up.gif">
          <a:extLst>
            <a:ext uri="{FF2B5EF4-FFF2-40B4-BE49-F238E27FC236}">
              <a16:creationId xmlns:a16="http://schemas.microsoft.com/office/drawing/2014/main" id="{E0F197F0-91BF-4700-8614-9540CA54D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055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88900</xdr:colOff>
      <xdr:row>211</xdr:row>
      <xdr:rowOff>50800</xdr:rowOff>
    </xdr:to>
    <xdr:pic>
      <xdr:nvPicPr>
        <xdr:cNvPr id="169" name="圖片 168" descr="https://www.slickcharts.com/img/up.gif">
          <a:extLst>
            <a:ext uri="{FF2B5EF4-FFF2-40B4-BE49-F238E27FC236}">
              <a16:creationId xmlns:a16="http://schemas.microsoft.com/office/drawing/2014/main" id="{293FBBB6-E969-4FB0-BD16-A98CF300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271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88900</xdr:colOff>
      <xdr:row>112</xdr:row>
      <xdr:rowOff>50800</xdr:rowOff>
    </xdr:to>
    <xdr:pic>
      <xdr:nvPicPr>
        <xdr:cNvPr id="170" name="圖片 169" descr="https://www.slickcharts.com/img/up.gif">
          <a:extLst>
            <a:ext uri="{FF2B5EF4-FFF2-40B4-BE49-F238E27FC236}">
              <a16:creationId xmlns:a16="http://schemas.microsoft.com/office/drawing/2014/main" id="{D9C88EC1-5453-4E79-BF46-6C5097788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48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88900</xdr:colOff>
      <xdr:row>212</xdr:row>
      <xdr:rowOff>50800</xdr:rowOff>
    </xdr:to>
    <xdr:pic>
      <xdr:nvPicPr>
        <xdr:cNvPr id="171" name="圖片 170" descr="https://www.slickcharts.com/img/up.gif">
          <a:extLst>
            <a:ext uri="{FF2B5EF4-FFF2-40B4-BE49-F238E27FC236}">
              <a16:creationId xmlns:a16="http://schemas.microsoft.com/office/drawing/2014/main" id="{DB9315A4-1037-43D5-B842-BEBA583E3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703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88900</xdr:colOff>
      <xdr:row>213</xdr:row>
      <xdr:rowOff>50800</xdr:rowOff>
    </xdr:to>
    <xdr:pic>
      <xdr:nvPicPr>
        <xdr:cNvPr id="172" name="圖片 171" descr="https://www.slickcharts.com/img/up.gif">
          <a:extLst>
            <a:ext uri="{FF2B5EF4-FFF2-40B4-BE49-F238E27FC236}">
              <a16:creationId xmlns:a16="http://schemas.microsoft.com/office/drawing/2014/main" id="{0F3C7DA6-ED1B-4442-82C4-5C01E3F35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918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88900</xdr:colOff>
      <xdr:row>214</xdr:row>
      <xdr:rowOff>50800</xdr:rowOff>
    </xdr:to>
    <xdr:pic>
      <xdr:nvPicPr>
        <xdr:cNvPr id="173" name="圖片 172" descr="https://www.slickcharts.com/img/up.gif">
          <a:extLst>
            <a:ext uri="{FF2B5EF4-FFF2-40B4-BE49-F238E27FC236}">
              <a16:creationId xmlns:a16="http://schemas.microsoft.com/office/drawing/2014/main" id="{1D1AE0FE-64B4-4732-9909-588ED03E7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134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88900</xdr:colOff>
      <xdr:row>215</xdr:row>
      <xdr:rowOff>50800</xdr:rowOff>
    </xdr:to>
    <xdr:pic>
      <xdr:nvPicPr>
        <xdr:cNvPr id="174" name="圖片 173" descr="https://www.slickcharts.com/img/up.gif">
          <a:extLst>
            <a:ext uri="{FF2B5EF4-FFF2-40B4-BE49-F238E27FC236}">
              <a16:creationId xmlns:a16="http://schemas.microsoft.com/office/drawing/2014/main" id="{644760F2-9E7D-4A44-B833-E6B63ED10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35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88900</xdr:colOff>
      <xdr:row>216</xdr:row>
      <xdr:rowOff>50800</xdr:rowOff>
    </xdr:to>
    <xdr:pic>
      <xdr:nvPicPr>
        <xdr:cNvPr id="175" name="圖片 174" descr="https://www.slickcharts.com/img/up.gif">
          <a:extLst>
            <a:ext uri="{FF2B5EF4-FFF2-40B4-BE49-F238E27FC236}">
              <a16:creationId xmlns:a16="http://schemas.microsoft.com/office/drawing/2014/main" id="{63C46C43-9520-43C9-81EB-D30D5D768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566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88900</xdr:colOff>
      <xdr:row>92</xdr:row>
      <xdr:rowOff>50800</xdr:rowOff>
    </xdr:to>
    <xdr:pic>
      <xdr:nvPicPr>
        <xdr:cNvPr id="176" name="圖片 175" descr="https://www.slickcharts.com/img/up.gif">
          <a:extLst>
            <a:ext uri="{FF2B5EF4-FFF2-40B4-BE49-F238E27FC236}">
              <a16:creationId xmlns:a16="http://schemas.microsoft.com/office/drawing/2014/main" id="{866EC27B-195B-41D3-A4D7-B05F8A63F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782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88900</xdr:colOff>
      <xdr:row>217</xdr:row>
      <xdr:rowOff>50800</xdr:rowOff>
    </xdr:to>
    <xdr:pic>
      <xdr:nvPicPr>
        <xdr:cNvPr id="177" name="圖片 176" descr="https://www.slickcharts.com/img/up.gif">
          <a:extLst>
            <a:ext uri="{FF2B5EF4-FFF2-40B4-BE49-F238E27FC236}">
              <a16:creationId xmlns:a16="http://schemas.microsoft.com/office/drawing/2014/main" id="{A378B975-51B7-4E52-9278-4C7DD7F4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998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88900</xdr:colOff>
      <xdr:row>218</xdr:row>
      <xdr:rowOff>50800</xdr:rowOff>
    </xdr:to>
    <xdr:pic>
      <xdr:nvPicPr>
        <xdr:cNvPr id="178" name="圖片 177" descr="https://www.slickcharts.com/img/up.gif">
          <a:extLst>
            <a:ext uri="{FF2B5EF4-FFF2-40B4-BE49-F238E27FC236}">
              <a16:creationId xmlns:a16="http://schemas.microsoft.com/office/drawing/2014/main" id="{9E93CB57-C4DF-45BA-82E1-A6890271F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21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88900</xdr:colOff>
      <xdr:row>93</xdr:row>
      <xdr:rowOff>50800</xdr:rowOff>
    </xdr:to>
    <xdr:pic>
      <xdr:nvPicPr>
        <xdr:cNvPr id="179" name="圖片 178" descr="https://www.slickcharts.com/img/up.gif">
          <a:extLst>
            <a:ext uri="{FF2B5EF4-FFF2-40B4-BE49-F238E27FC236}">
              <a16:creationId xmlns:a16="http://schemas.microsoft.com/office/drawing/2014/main" id="{CAE79CF1-8C3C-4C67-B32D-62AE12214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430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88900</xdr:colOff>
      <xdr:row>219</xdr:row>
      <xdr:rowOff>50800</xdr:rowOff>
    </xdr:to>
    <xdr:pic>
      <xdr:nvPicPr>
        <xdr:cNvPr id="180" name="圖片 179" descr="https://www.slickcharts.com/img/up.gif">
          <a:extLst>
            <a:ext uri="{FF2B5EF4-FFF2-40B4-BE49-F238E27FC236}">
              <a16:creationId xmlns:a16="http://schemas.microsoft.com/office/drawing/2014/main" id="{05AA0673-9586-4C3D-8B82-58B1FCBCB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646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88900</xdr:colOff>
      <xdr:row>220</xdr:row>
      <xdr:rowOff>50800</xdr:rowOff>
    </xdr:to>
    <xdr:pic>
      <xdr:nvPicPr>
        <xdr:cNvPr id="181" name="圖片 180" descr="https://www.slickcharts.com/img/down.gif">
          <a:extLst>
            <a:ext uri="{FF2B5EF4-FFF2-40B4-BE49-F238E27FC236}">
              <a16:creationId xmlns:a16="http://schemas.microsoft.com/office/drawing/2014/main" id="{B2DF4FF4-3A39-4165-9C21-DA9A352F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862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88900</xdr:colOff>
      <xdr:row>221</xdr:row>
      <xdr:rowOff>50800</xdr:rowOff>
    </xdr:to>
    <xdr:pic>
      <xdr:nvPicPr>
        <xdr:cNvPr id="182" name="圖片 181" descr="https://www.slickcharts.com/img/up.gif">
          <a:extLst>
            <a:ext uri="{FF2B5EF4-FFF2-40B4-BE49-F238E27FC236}">
              <a16:creationId xmlns:a16="http://schemas.microsoft.com/office/drawing/2014/main" id="{6447083D-AFA0-4936-AC4A-FB29B623D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07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88900</xdr:colOff>
      <xdr:row>222</xdr:row>
      <xdr:rowOff>50800</xdr:rowOff>
    </xdr:to>
    <xdr:pic>
      <xdr:nvPicPr>
        <xdr:cNvPr id="183" name="圖片 182" descr="https://www.slickcharts.com/img/up.gif">
          <a:extLst>
            <a:ext uri="{FF2B5EF4-FFF2-40B4-BE49-F238E27FC236}">
              <a16:creationId xmlns:a16="http://schemas.microsoft.com/office/drawing/2014/main" id="{376F337C-88DC-4E99-A4B0-5683B810C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293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88900</xdr:colOff>
      <xdr:row>223</xdr:row>
      <xdr:rowOff>50800</xdr:rowOff>
    </xdr:to>
    <xdr:pic>
      <xdr:nvPicPr>
        <xdr:cNvPr id="184" name="圖片 183" descr="https://www.slickcharts.com/img/up.gif">
          <a:extLst>
            <a:ext uri="{FF2B5EF4-FFF2-40B4-BE49-F238E27FC236}">
              <a16:creationId xmlns:a16="http://schemas.microsoft.com/office/drawing/2014/main" id="{0DCF33EC-D3F4-4022-BD54-0DDD7E85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509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88900</xdr:colOff>
      <xdr:row>224</xdr:row>
      <xdr:rowOff>50800</xdr:rowOff>
    </xdr:to>
    <xdr:pic>
      <xdr:nvPicPr>
        <xdr:cNvPr id="185" name="圖片 184" descr="https://www.slickcharts.com/img/down.gif">
          <a:extLst>
            <a:ext uri="{FF2B5EF4-FFF2-40B4-BE49-F238E27FC236}">
              <a16:creationId xmlns:a16="http://schemas.microsoft.com/office/drawing/2014/main" id="{03162611-0982-427B-823E-E9E28E62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725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88900</xdr:colOff>
      <xdr:row>225</xdr:row>
      <xdr:rowOff>50800</xdr:rowOff>
    </xdr:to>
    <xdr:pic>
      <xdr:nvPicPr>
        <xdr:cNvPr id="186" name="圖片 185" descr="https://www.slickcharts.com/img/down.gif">
          <a:extLst>
            <a:ext uri="{FF2B5EF4-FFF2-40B4-BE49-F238E27FC236}">
              <a16:creationId xmlns:a16="http://schemas.microsoft.com/office/drawing/2014/main" id="{94BB0E93-E9F9-4CFC-BFCA-BE66997F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94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88900</xdr:colOff>
      <xdr:row>226</xdr:row>
      <xdr:rowOff>50800</xdr:rowOff>
    </xdr:to>
    <xdr:pic>
      <xdr:nvPicPr>
        <xdr:cNvPr id="187" name="圖片 186" descr="https://www.slickcharts.com/img/up.gif">
          <a:extLst>
            <a:ext uri="{FF2B5EF4-FFF2-40B4-BE49-F238E27FC236}">
              <a16:creationId xmlns:a16="http://schemas.microsoft.com/office/drawing/2014/main" id="{F1E4E34D-B094-4670-AE6A-E31BD227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157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88900</xdr:colOff>
      <xdr:row>227</xdr:row>
      <xdr:rowOff>50800</xdr:rowOff>
    </xdr:to>
    <xdr:pic>
      <xdr:nvPicPr>
        <xdr:cNvPr id="188" name="圖片 187" descr="https://www.slickcharts.com/img/down.gif">
          <a:extLst>
            <a:ext uri="{FF2B5EF4-FFF2-40B4-BE49-F238E27FC236}">
              <a16:creationId xmlns:a16="http://schemas.microsoft.com/office/drawing/2014/main" id="{327F9F61-2C3A-4BBA-961C-927540A77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373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88900</xdr:colOff>
      <xdr:row>228</xdr:row>
      <xdr:rowOff>50800</xdr:rowOff>
    </xdr:to>
    <xdr:pic>
      <xdr:nvPicPr>
        <xdr:cNvPr id="189" name="圖片 188" descr="https://www.slickcharts.com/img/up.gif">
          <a:extLst>
            <a:ext uri="{FF2B5EF4-FFF2-40B4-BE49-F238E27FC236}">
              <a16:creationId xmlns:a16="http://schemas.microsoft.com/office/drawing/2014/main" id="{9FA13671-5C72-4874-B597-4EFC72F42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589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88900</xdr:colOff>
      <xdr:row>94</xdr:row>
      <xdr:rowOff>50800</xdr:rowOff>
    </xdr:to>
    <xdr:pic>
      <xdr:nvPicPr>
        <xdr:cNvPr id="190" name="圖片 189" descr="https://www.slickcharts.com/img/up.gif">
          <a:extLst>
            <a:ext uri="{FF2B5EF4-FFF2-40B4-BE49-F238E27FC236}">
              <a16:creationId xmlns:a16="http://schemas.microsoft.com/office/drawing/2014/main" id="{CA0998D9-E084-4684-907E-996A80B13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80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88900</xdr:colOff>
      <xdr:row>40</xdr:row>
      <xdr:rowOff>50800</xdr:rowOff>
    </xdr:to>
    <xdr:pic>
      <xdr:nvPicPr>
        <xdr:cNvPr id="191" name="圖片 190" descr="https://www.slickcharts.com/img/up.gif">
          <a:extLst>
            <a:ext uri="{FF2B5EF4-FFF2-40B4-BE49-F238E27FC236}">
              <a16:creationId xmlns:a16="http://schemas.microsoft.com/office/drawing/2014/main" id="{C1FE59E8-C016-4904-A085-9E0B055B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021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88900</xdr:colOff>
      <xdr:row>16</xdr:row>
      <xdr:rowOff>50800</xdr:rowOff>
    </xdr:to>
    <xdr:pic>
      <xdr:nvPicPr>
        <xdr:cNvPr id="192" name="圖片 191" descr="https://www.slickcharts.com/img/up.gif">
          <a:extLst>
            <a:ext uri="{FF2B5EF4-FFF2-40B4-BE49-F238E27FC236}">
              <a16:creationId xmlns:a16="http://schemas.microsoft.com/office/drawing/2014/main" id="{2D8D4713-3E66-4004-BD0D-FCFDE1181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236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155</xdr:row>
      <xdr:rowOff>0</xdr:rowOff>
    </xdr:from>
    <xdr:to>
      <xdr:col>7</xdr:col>
      <xdr:colOff>88900</xdr:colOff>
      <xdr:row>155</xdr:row>
      <xdr:rowOff>50800</xdr:rowOff>
    </xdr:to>
    <xdr:pic>
      <xdr:nvPicPr>
        <xdr:cNvPr id="193" name="圖片 192" descr="https://www.slickcharts.com/img/up.gif">
          <a:extLst>
            <a:ext uri="{FF2B5EF4-FFF2-40B4-BE49-F238E27FC236}">
              <a16:creationId xmlns:a16="http://schemas.microsoft.com/office/drawing/2014/main" id="{8F5FB1B8-C7E0-45CE-A2E0-2D998968F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452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88900</xdr:colOff>
      <xdr:row>95</xdr:row>
      <xdr:rowOff>50800</xdr:rowOff>
    </xdr:to>
    <xdr:pic>
      <xdr:nvPicPr>
        <xdr:cNvPr id="194" name="圖片 193" descr="https://www.slickcharts.com/img/down.gif">
          <a:extLst>
            <a:ext uri="{FF2B5EF4-FFF2-40B4-BE49-F238E27FC236}">
              <a16:creationId xmlns:a16="http://schemas.microsoft.com/office/drawing/2014/main" id="{7DD3C018-0129-4E58-A4BA-EB76A9E6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66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88900</xdr:colOff>
      <xdr:row>96</xdr:row>
      <xdr:rowOff>50800</xdr:rowOff>
    </xdr:to>
    <xdr:pic>
      <xdr:nvPicPr>
        <xdr:cNvPr id="195" name="圖片 194" descr="https://www.slickcharts.com/img/up.gif">
          <a:extLst>
            <a:ext uri="{FF2B5EF4-FFF2-40B4-BE49-F238E27FC236}">
              <a16:creationId xmlns:a16="http://schemas.microsoft.com/office/drawing/2014/main" id="{A12BD961-97E8-4339-9965-7D6CB603E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884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88900</xdr:colOff>
      <xdr:row>229</xdr:row>
      <xdr:rowOff>50800</xdr:rowOff>
    </xdr:to>
    <xdr:pic>
      <xdr:nvPicPr>
        <xdr:cNvPr id="196" name="圖片 195" descr="https://www.slickcharts.com/img/up.gif">
          <a:extLst>
            <a:ext uri="{FF2B5EF4-FFF2-40B4-BE49-F238E27FC236}">
              <a16:creationId xmlns:a16="http://schemas.microsoft.com/office/drawing/2014/main" id="{1618F0A2-C166-4210-9871-E9D0EF5F1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100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88900</xdr:colOff>
      <xdr:row>230</xdr:row>
      <xdr:rowOff>50800</xdr:rowOff>
    </xdr:to>
    <xdr:pic>
      <xdr:nvPicPr>
        <xdr:cNvPr id="197" name="圖片 196" descr="https://www.slickcharts.com/img/up.gif">
          <a:extLst>
            <a:ext uri="{FF2B5EF4-FFF2-40B4-BE49-F238E27FC236}">
              <a16:creationId xmlns:a16="http://schemas.microsoft.com/office/drawing/2014/main" id="{042C82D6-3023-45A1-81E4-C31C97415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316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88900</xdr:colOff>
      <xdr:row>231</xdr:row>
      <xdr:rowOff>50800</xdr:rowOff>
    </xdr:to>
    <xdr:pic>
      <xdr:nvPicPr>
        <xdr:cNvPr id="198" name="圖片 197" descr="https://www.slickcharts.com/img/up.gif">
          <a:extLst>
            <a:ext uri="{FF2B5EF4-FFF2-40B4-BE49-F238E27FC236}">
              <a16:creationId xmlns:a16="http://schemas.microsoft.com/office/drawing/2014/main" id="{7921739B-29ED-4F39-9757-3C70663BF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53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88900</xdr:colOff>
      <xdr:row>232</xdr:row>
      <xdr:rowOff>50800</xdr:rowOff>
    </xdr:to>
    <xdr:pic>
      <xdr:nvPicPr>
        <xdr:cNvPr id="199" name="圖片 198" descr="https://www.slickcharts.com/img/up.gif">
          <a:extLst>
            <a:ext uri="{FF2B5EF4-FFF2-40B4-BE49-F238E27FC236}">
              <a16:creationId xmlns:a16="http://schemas.microsoft.com/office/drawing/2014/main" id="{3142CB3C-D5BB-4F45-903E-2EDFE918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748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88900</xdr:colOff>
      <xdr:row>233</xdr:row>
      <xdr:rowOff>50800</xdr:rowOff>
    </xdr:to>
    <xdr:pic>
      <xdr:nvPicPr>
        <xdr:cNvPr id="200" name="圖片 199" descr="https://www.slickcharts.com/img/up.gif">
          <a:extLst>
            <a:ext uri="{FF2B5EF4-FFF2-40B4-BE49-F238E27FC236}">
              <a16:creationId xmlns:a16="http://schemas.microsoft.com/office/drawing/2014/main" id="{E9466B72-92D5-443E-9A06-D185FFCFC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964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88900</xdr:colOff>
      <xdr:row>97</xdr:row>
      <xdr:rowOff>50800</xdr:rowOff>
    </xdr:to>
    <xdr:pic>
      <xdr:nvPicPr>
        <xdr:cNvPr id="201" name="圖片 200" descr="https://www.slickcharts.com/img/up.gif">
          <a:extLst>
            <a:ext uri="{FF2B5EF4-FFF2-40B4-BE49-F238E27FC236}">
              <a16:creationId xmlns:a16="http://schemas.microsoft.com/office/drawing/2014/main" id="{220D6965-CF60-49DA-991E-77AC5F9E4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180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88900</xdr:colOff>
      <xdr:row>53</xdr:row>
      <xdr:rowOff>50800</xdr:rowOff>
    </xdr:to>
    <xdr:pic>
      <xdr:nvPicPr>
        <xdr:cNvPr id="202" name="圖片 201" descr="https://www.slickcharts.com/img/up.gif">
          <a:extLst>
            <a:ext uri="{FF2B5EF4-FFF2-40B4-BE49-F238E27FC236}">
              <a16:creationId xmlns:a16="http://schemas.microsoft.com/office/drawing/2014/main" id="{085667E0-4027-45E2-ADB5-74ED52C2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39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88900</xdr:colOff>
      <xdr:row>234</xdr:row>
      <xdr:rowOff>50800</xdr:rowOff>
    </xdr:to>
    <xdr:pic>
      <xdr:nvPicPr>
        <xdr:cNvPr id="203" name="圖片 202" descr="https://www.slickcharts.com/img/up.gif">
          <a:extLst>
            <a:ext uri="{FF2B5EF4-FFF2-40B4-BE49-F238E27FC236}">
              <a16:creationId xmlns:a16="http://schemas.microsoft.com/office/drawing/2014/main" id="{99C66549-8A37-4EAF-940A-A5BAF55F6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611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88900</xdr:colOff>
      <xdr:row>235</xdr:row>
      <xdr:rowOff>50800</xdr:rowOff>
    </xdr:to>
    <xdr:pic>
      <xdr:nvPicPr>
        <xdr:cNvPr id="204" name="圖片 203" descr="https://www.slickcharts.com/img/up.gif">
          <a:extLst>
            <a:ext uri="{FF2B5EF4-FFF2-40B4-BE49-F238E27FC236}">
              <a16:creationId xmlns:a16="http://schemas.microsoft.com/office/drawing/2014/main" id="{DFCB0C1F-374F-46A1-B037-3DF78894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827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88900</xdr:colOff>
      <xdr:row>236</xdr:row>
      <xdr:rowOff>50800</xdr:rowOff>
    </xdr:to>
    <xdr:pic>
      <xdr:nvPicPr>
        <xdr:cNvPr id="205" name="圖片 204" descr="https://www.slickcharts.com/img/up.gif">
          <a:extLst>
            <a:ext uri="{FF2B5EF4-FFF2-40B4-BE49-F238E27FC236}">
              <a16:creationId xmlns:a16="http://schemas.microsoft.com/office/drawing/2014/main" id="{9CCB27DA-41AE-46A9-8BC5-FA445AA9B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043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88900</xdr:colOff>
      <xdr:row>237</xdr:row>
      <xdr:rowOff>50800</xdr:rowOff>
    </xdr:to>
    <xdr:pic>
      <xdr:nvPicPr>
        <xdr:cNvPr id="206" name="圖片 205" descr="https://www.slickcharts.com/img/up.gif">
          <a:extLst>
            <a:ext uri="{FF2B5EF4-FFF2-40B4-BE49-F238E27FC236}">
              <a16:creationId xmlns:a16="http://schemas.microsoft.com/office/drawing/2014/main" id="{05FB8CC1-5780-434E-B1A1-1693D1C38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25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88900</xdr:colOff>
      <xdr:row>238</xdr:row>
      <xdr:rowOff>50800</xdr:rowOff>
    </xdr:to>
    <xdr:pic>
      <xdr:nvPicPr>
        <xdr:cNvPr id="207" name="圖片 206" descr="https://www.slickcharts.com/img/up.gif">
          <a:extLst>
            <a:ext uri="{FF2B5EF4-FFF2-40B4-BE49-F238E27FC236}">
              <a16:creationId xmlns:a16="http://schemas.microsoft.com/office/drawing/2014/main" id="{7E23F456-3BE5-469E-B4AA-95E7D9FF5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475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88900</xdr:colOff>
      <xdr:row>239</xdr:row>
      <xdr:rowOff>50800</xdr:rowOff>
    </xdr:to>
    <xdr:pic>
      <xdr:nvPicPr>
        <xdr:cNvPr id="208" name="圖片 207" descr="https://www.slickcharts.com/img/up.gif">
          <a:extLst>
            <a:ext uri="{FF2B5EF4-FFF2-40B4-BE49-F238E27FC236}">
              <a16:creationId xmlns:a16="http://schemas.microsoft.com/office/drawing/2014/main" id="{6DE9E191-5AAE-4D75-894E-05AF7CC6D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691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88900</xdr:colOff>
      <xdr:row>240</xdr:row>
      <xdr:rowOff>50800</xdr:rowOff>
    </xdr:to>
    <xdr:pic>
      <xdr:nvPicPr>
        <xdr:cNvPr id="209" name="圖片 208" descr="https://www.slickcharts.com/img/up.gif">
          <a:extLst>
            <a:ext uri="{FF2B5EF4-FFF2-40B4-BE49-F238E27FC236}">
              <a16:creationId xmlns:a16="http://schemas.microsoft.com/office/drawing/2014/main" id="{80F29033-CB05-4C88-BD7C-FF0D1891E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907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88900</xdr:colOff>
      <xdr:row>241</xdr:row>
      <xdr:rowOff>50800</xdr:rowOff>
    </xdr:to>
    <xdr:pic>
      <xdr:nvPicPr>
        <xdr:cNvPr id="210" name="圖片 209" descr="https://www.slickcharts.com/img/up.gif">
          <a:extLst>
            <a:ext uri="{FF2B5EF4-FFF2-40B4-BE49-F238E27FC236}">
              <a16:creationId xmlns:a16="http://schemas.microsoft.com/office/drawing/2014/main" id="{3C00C2CB-4ADA-4E39-9B64-7829D7066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12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88900</xdr:colOff>
      <xdr:row>242</xdr:row>
      <xdr:rowOff>50800</xdr:rowOff>
    </xdr:to>
    <xdr:pic>
      <xdr:nvPicPr>
        <xdr:cNvPr id="211" name="圖片 210" descr="https://www.slickcharts.com/img/up.gif">
          <a:extLst>
            <a:ext uri="{FF2B5EF4-FFF2-40B4-BE49-F238E27FC236}">
              <a16:creationId xmlns:a16="http://schemas.microsoft.com/office/drawing/2014/main" id="{A67A6455-FCAC-430A-98C3-982DE3B0E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339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88900</xdr:colOff>
      <xdr:row>41</xdr:row>
      <xdr:rowOff>50800</xdr:rowOff>
    </xdr:to>
    <xdr:pic>
      <xdr:nvPicPr>
        <xdr:cNvPr id="212" name="圖片 211" descr="https://www.slickcharts.com/img/up.gif">
          <a:extLst>
            <a:ext uri="{FF2B5EF4-FFF2-40B4-BE49-F238E27FC236}">
              <a16:creationId xmlns:a16="http://schemas.microsoft.com/office/drawing/2014/main" id="{AC3F4318-CF06-4C4D-BD43-D015B7092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554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88900</xdr:colOff>
      <xdr:row>243</xdr:row>
      <xdr:rowOff>50800</xdr:rowOff>
    </xdr:to>
    <xdr:pic>
      <xdr:nvPicPr>
        <xdr:cNvPr id="213" name="圖片 212" descr="https://www.slickcharts.com/img/up.gif">
          <a:extLst>
            <a:ext uri="{FF2B5EF4-FFF2-40B4-BE49-F238E27FC236}">
              <a16:creationId xmlns:a16="http://schemas.microsoft.com/office/drawing/2014/main" id="{721AF626-B4B1-46BE-94E8-21F201123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770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88900</xdr:colOff>
      <xdr:row>42</xdr:row>
      <xdr:rowOff>50800</xdr:rowOff>
    </xdr:to>
    <xdr:pic>
      <xdr:nvPicPr>
        <xdr:cNvPr id="214" name="圖片 213" descr="https://www.slickcharts.com/img/up.gif">
          <a:extLst>
            <a:ext uri="{FF2B5EF4-FFF2-40B4-BE49-F238E27FC236}">
              <a16:creationId xmlns:a16="http://schemas.microsoft.com/office/drawing/2014/main" id="{5A7272C4-66DF-43D3-BC36-7D5A7A252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98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88900</xdr:colOff>
      <xdr:row>7</xdr:row>
      <xdr:rowOff>50800</xdr:rowOff>
    </xdr:to>
    <xdr:pic>
      <xdr:nvPicPr>
        <xdr:cNvPr id="215" name="圖片 214" descr="https://www.slickcharts.com/img/up.gif">
          <a:extLst>
            <a:ext uri="{FF2B5EF4-FFF2-40B4-BE49-F238E27FC236}">
              <a16:creationId xmlns:a16="http://schemas.microsoft.com/office/drawing/2014/main" id="{96EED160-5A55-418F-B09E-A0652FA88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202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88900</xdr:colOff>
      <xdr:row>244</xdr:row>
      <xdr:rowOff>50800</xdr:rowOff>
    </xdr:to>
    <xdr:pic>
      <xdr:nvPicPr>
        <xdr:cNvPr id="216" name="圖片 215" descr="https://www.slickcharts.com/img/up.gif">
          <a:extLst>
            <a:ext uri="{FF2B5EF4-FFF2-40B4-BE49-F238E27FC236}">
              <a16:creationId xmlns:a16="http://schemas.microsoft.com/office/drawing/2014/main" id="{E63E38F0-5B15-4B85-BE30-1AAE83727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418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88900</xdr:colOff>
      <xdr:row>245</xdr:row>
      <xdr:rowOff>50800</xdr:rowOff>
    </xdr:to>
    <xdr:pic>
      <xdr:nvPicPr>
        <xdr:cNvPr id="217" name="圖片 216" descr="https://www.slickcharts.com/img/up.gif">
          <a:extLst>
            <a:ext uri="{FF2B5EF4-FFF2-40B4-BE49-F238E27FC236}">
              <a16:creationId xmlns:a16="http://schemas.microsoft.com/office/drawing/2014/main" id="{E807C374-5BB0-4333-B548-E5141D601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634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88900</xdr:colOff>
      <xdr:row>8</xdr:row>
      <xdr:rowOff>50800</xdr:rowOff>
    </xdr:to>
    <xdr:pic>
      <xdr:nvPicPr>
        <xdr:cNvPr id="218" name="圖片 217" descr="https://www.slickcharts.com/img/up.gif">
          <a:extLst>
            <a:ext uri="{FF2B5EF4-FFF2-40B4-BE49-F238E27FC236}">
              <a16:creationId xmlns:a16="http://schemas.microsoft.com/office/drawing/2014/main" id="{B390E8EA-B557-4E74-BF03-BA5DCE6C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85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88900</xdr:colOff>
      <xdr:row>246</xdr:row>
      <xdr:rowOff>50800</xdr:rowOff>
    </xdr:to>
    <xdr:pic>
      <xdr:nvPicPr>
        <xdr:cNvPr id="219" name="圖片 218" descr="https://www.slickcharts.com/img/down.gif">
          <a:extLst>
            <a:ext uri="{FF2B5EF4-FFF2-40B4-BE49-F238E27FC236}">
              <a16:creationId xmlns:a16="http://schemas.microsoft.com/office/drawing/2014/main" id="{6E1477D7-231C-4A44-A62C-05EFC38F9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066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88900</xdr:colOff>
      <xdr:row>247</xdr:row>
      <xdr:rowOff>50800</xdr:rowOff>
    </xdr:to>
    <xdr:pic>
      <xdr:nvPicPr>
        <xdr:cNvPr id="220" name="圖片 219" descr="https://www.slickcharts.com/img/up.gif">
          <a:extLst>
            <a:ext uri="{FF2B5EF4-FFF2-40B4-BE49-F238E27FC236}">
              <a16:creationId xmlns:a16="http://schemas.microsoft.com/office/drawing/2014/main" id="{1E2C0F80-3052-4DB3-9FCB-2B1F6E65F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282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88900</xdr:colOff>
      <xdr:row>248</xdr:row>
      <xdr:rowOff>50800</xdr:rowOff>
    </xdr:to>
    <xdr:pic>
      <xdr:nvPicPr>
        <xdr:cNvPr id="221" name="圖片 220" descr="https://www.slickcharts.com/img/down.gif">
          <a:extLst>
            <a:ext uri="{FF2B5EF4-FFF2-40B4-BE49-F238E27FC236}">
              <a16:creationId xmlns:a16="http://schemas.microsoft.com/office/drawing/2014/main" id="{FDC5747A-CEF5-4EA3-A847-C35E10C2D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498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88900</xdr:colOff>
      <xdr:row>249</xdr:row>
      <xdr:rowOff>50800</xdr:rowOff>
    </xdr:to>
    <xdr:pic>
      <xdr:nvPicPr>
        <xdr:cNvPr id="222" name="圖片 221" descr="https://www.slickcharts.com/img/up.gif">
          <a:extLst>
            <a:ext uri="{FF2B5EF4-FFF2-40B4-BE49-F238E27FC236}">
              <a16:creationId xmlns:a16="http://schemas.microsoft.com/office/drawing/2014/main" id="{F1BE3A7D-7C49-4F2F-9B8F-CD999E24E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71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88900</xdr:colOff>
      <xdr:row>9</xdr:row>
      <xdr:rowOff>50800</xdr:rowOff>
    </xdr:to>
    <xdr:pic>
      <xdr:nvPicPr>
        <xdr:cNvPr id="223" name="圖片 222" descr="https://www.slickcharts.com/img/up.gif">
          <a:extLst>
            <a:ext uri="{FF2B5EF4-FFF2-40B4-BE49-F238E27FC236}">
              <a16:creationId xmlns:a16="http://schemas.microsoft.com/office/drawing/2014/main" id="{95315A5A-8B2E-486D-96BB-95B777C9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929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88900</xdr:colOff>
      <xdr:row>250</xdr:row>
      <xdr:rowOff>50800</xdr:rowOff>
    </xdr:to>
    <xdr:pic>
      <xdr:nvPicPr>
        <xdr:cNvPr id="224" name="圖片 223" descr="https://www.slickcharts.com/img/up.gif">
          <a:extLst>
            <a:ext uri="{FF2B5EF4-FFF2-40B4-BE49-F238E27FC236}">
              <a16:creationId xmlns:a16="http://schemas.microsoft.com/office/drawing/2014/main" id="{78E16400-0C21-40B2-AD85-957A14D44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145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88900</xdr:colOff>
      <xdr:row>251</xdr:row>
      <xdr:rowOff>50800</xdr:rowOff>
    </xdr:to>
    <xdr:pic>
      <xdr:nvPicPr>
        <xdr:cNvPr id="225" name="圖片 224" descr="https://www.slickcharts.com/img/up.gif">
          <a:extLst>
            <a:ext uri="{FF2B5EF4-FFF2-40B4-BE49-F238E27FC236}">
              <a16:creationId xmlns:a16="http://schemas.microsoft.com/office/drawing/2014/main" id="{4C422001-4D05-40B5-9ADC-49BD3A529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361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88900</xdr:colOff>
      <xdr:row>17</xdr:row>
      <xdr:rowOff>50800</xdr:rowOff>
    </xdr:to>
    <xdr:pic>
      <xdr:nvPicPr>
        <xdr:cNvPr id="226" name="圖片 225" descr="https://www.slickcharts.com/img/up.gif">
          <a:extLst>
            <a:ext uri="{FF2B5EF4-FFF2-40B4-BE49-F238E27FC236}">
              <a16:creationId xmlns:a16="http://schemas.microsoft.com/office/drawing/2014/main" id="{B71C79B7-A80E-46E5-85F6-8561AA17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57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88900</xdr:colOff>
      <xdr:row>252</xdr:row>
      <xdr:rowOff>50800</xdr:rowOff>
    </xdr:to>
    <xdr:pic>
      <xdr:nvPicPr>
        <xdr:cNvPr id="227" name="圖片 226" descr="https://www.slickcharts.com/img/up.gif">
          <a:extLst>
            <a:ext uri="{FF2B5EF4-FFF2-40B4-BE49-F238E27FC236}">
              <a16:creationId xmlns:a16="http://schemas.microsoft.com/office/drawing/2014/main" id="{0B964BB1-FB3E-4116-BAD7-698E2E298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793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88900</xdr:colOff>
      <xdr:row>253</xdr:row>
      <xdr:rowOff>50800</xdr:rowOff>
    </xdr:to>
    <xdr:pic>
      <xdr:nvPicPr>
        <xdr:cNvPr id="228" name="圖片 227" descr="https://www.slickcharts.com/img/down.gif">
          <a:extLst>
            <a:ext uri="{FF2B5EF4-FFF2-40B4-BE49-F238E27FC236}">
              <a16:creationId xmlns:a16="http://schemas.microsoft.com/office/drawing/2014/main" id="{DCC783B8-116F-4D4D-A969-B07A4B375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009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88900</xdr:colOff>
      <xdr:row>254</xdr:row>
      <xdr:rowOff>50800</xdr:rowOff>
    </xdr:to>
    <xdr:pic>
      <xdr:nvPicPr>
        <xdr:cNvPr id="229" name="圖片 228" descr="https://www.slickcharts.com/img/up.gif">
          <a:extLst>
            <a:ext uri="{FF2B5EF4-FFF2-40B4-BE49-F238E27FC236}">
              <a16:creationId xmlns:a16="http://schemas.microsoft.com/office/drawing/2014/main" id="{3BFBAF55-A6FE-495E-A385-AF19EB29F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225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88900</xdr:colOff>
      <xdr:row>255</xdr:row>
      <xdr:rowOff>50800</xdr:rowOff>
    </xdr:to>
    <xdr:pic>
      <xdr:nvPicPr>
        <xdr:cNvPr id="230" name="圖片 229" descr="https://www.slickcharts.com/img/up.gif">
          <a:extLst>
            <a:ext uri="{FF2B5EF4-FFF2-40B4-BE49-F238E27FC236}">
              <a16:creationId xmlns:a16="http://schemas.microsoft.com/office/drawing/2014/main" id="{6444EEB5-3C21-4F26-A590-DD9123A0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44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88900</xdr:colOff>
      <xdr:row>256</xdr:row>
      <xdr:rowOff>50800</xdr:rowOff>
    </xdr:to>
    <xdr:pic>
      <xdr:nvPicPr>
        <xdr:cNvPr id="231" name="圖片 230" descr="https://www.slickcharts.com/img/down.gif">
          <a:extLst>
            <a:ext uri="{FF2B5EF4-FFF2-40B4-BE49-F238E27FC236}">
              <a16:creationId xmlns:a16="http://schemas.microsoft.com/office/drawing/2014/main" id="{FFF1E8BB-B77B-4A4B-9535-B9234B911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657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88900</xdr:colOff>
      <xdr:row>257</xdr:row>
      <xdr:rowOff>50800</xdr:rowOff>
    </xdr:to>
    <xdr:pic>
      <xdr:nvPicPr>
        <xdr:cNvPr id="232" name="圖片 231" descr="https://www.slickcharts.com/img/up.gif">
          <a:extLst>
            <a:ext uri="{FF2B5EF4-FFF2-40B4-BE49-F238E27FC236}">
              <a16:creationId xmlns:a16="http://schemas.microsoft.com/office/drawing/2014/main" id="{FEFF2904-37D1-4132-BFE8-8427CCA50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872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88900</xdr:colOff>
      <xdr:row>258</xdr:row>
      <xdr:rowOff>50800</xdr:rowOff>
    </xdr:to>
    <xdr:pic>
      <xdr:nvPicPr>
        <xdr:cNvPr id="233" name="圖片 232" descr="https://www.slickcharts.com/img/up.gif">
          <a:extLst>
            <a:ext uri="{FF2B5EF4-FFF2-40B4-BE49-F238E27FC236}">
              <a16:creationId xmlns:a16="http://schemas.microsoft.com/office/drawing/2014/main" id="{D369D051-569E-4BA7-87D7-7AFF01DC7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088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88900</xdr:colOff>
      <xdr:row>81</xdr:row>
      <xdr:rowOff>50800</xdr:rowOff>
    </xdr:to>
    <xdr:pic>
      <xdr:nvPicPr>
        <xdr:cNvPr id="234" name="圖片 233" descr="https://www.slickcharts.com/img/up.gif">
          <a:extLst>
            <a:ext uri="{FF2B5EF4-FFF2-40B4-BE49-F238E27FC236}">
              <a16:creationId xmlns:a16="http://schemas.microsoft.com/office/drawing/2014/main" id="{B5BF60AA-E0B0-44B5-8C5C-EF98DDBA2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30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88900</xdr:colOff>
      <xdr:row>259</xdr:row>
      <xdr:rowOff>50800</xdr:rowOff>
    </xdr:to>
    <xdr:pic>
      <xdr:nvPicPr>
        <xdr:cNvPr id="235" name="圖片 234" descr="https://www.slickcharts.com/img/up.gif">
          <a:extLst>
            <a:ext uri="{FF2B5EF4-FFF2-40B4-BE49-F238E27FC236}">
              <a16:creationId xmlns:a16="http://schemas.microsoft.com/office/drawing/2014/main" id="{E4E9739C-BEE7-4791-8F1C-2D8FE60C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520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88900</xdr:colOff>
      <xdr:row>260</xdr:row>
      <xdr:rowOff>50800</xdr:rowOff>
    </xdr:to>
    <xdr:pic>
      <xdr:nvPicPr>
        <xdr:cNvPr id="236" name="圖片 235" descr="https://www.slickcharts.com/img/up.gif">
          <a:extLst>
            <a:ext uri="{FF2B5EF4-FFF2-40B4-BE49-F238E27FC236}">
              <a16:creationId xmlns:a16="http://schemas.microsoft.com/office/drawing/2014/main" id="{E17AD2EB-C588-4D76-BBB4-B4FC4F103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736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88900</xdr:colOff>
      <xdr:row>43</xdr:row>
      <xdr:rowOff>50800</xdr:rowOff>
    </xdr:to>
    <xdr:pic>
      <xdr:nvPicPr>
        <xdr:cNvPr id="237" name="圖片 236" descr="https://www.slickcharts.com/img/up.gif">
          <a:extLst>
            <a:ext uri="{FF2B5EF4-FFF2-40B4-BE49-F238E27FC236}">
              <a16:creationId xmlns:a16="http://schemas.microsoft.com/office/drawing/2014/main" id="{38D06D48-51A9-45C4-8175-1864BCCAA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952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88900</xdr:colOff>
      <xdr:row>261</xdr:row>
      <xdr:rowOff>50800</xdr:rowOff>
    </xdr:to>
    <xdr:pic>
      <xdr:nvPicPr>
        <xdr:cNvPr id="238" name="圖片 237" descr="https://www.slickcharts.com/img/up.gif">
          <a:extLst>
            <a:ext uri="{FF2B5EF4-FFF2-40B4-BE49-F238E27FC236}">
              <a16:creationId xmlns:a16="http://schemas.microsoft.com/office/drawing/2014/main" id="{4A7F2897-7DAA-4332-B71E-53BE19CA7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16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88900</xdr:colOff>
      <xdr:row>44</xdr:row>
      <xdr:rowOff>50800</xdr:rowOff>
    </xdr:to>
    <xdr:pic>
      <xdr:nvPicPr>
        <xdr:cNvPr id="239" name="圖片 238" descr="https://www.slickcharts.com/img/up.gif">
          <a:extLst>
            <a:ext uri="{FF2B5EF4-FFF2-40B4-BE49-F238E27FC236}">
              <a16:creationId xmlns:a16="http://schemas.microsoft.com/office/drawing/2014/main" id="{3C894992-564E-48F1-9656-61BBE0AA8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384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88900</xdr:colOff>
      <xdr:row>262</xdr:row>
      <xdr:rowOff>50800</xdr:rowOff>
    </xdr:to>
    <xdr:pic>
      <xdr:nvPicPr>
        <xdr:cNvPr id="240" name="圖片 239" descr="https://www.slickcharts.com/img/up.gif">
          <a:extLst>
            <a:ext uri="{FF2B5EF4-FFF2-40B4-BE49-F238E27FC236}">
              <a16:creationId xmlns:a16="http://schemas.microsoft.com/office/drawing/2014/main" id="{FE57731D-A8F5-4E1D-948B-E06A43E23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600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88900</xdr:colOff>
      <xdr:row>263</xdr:row>
      <xdr:rowOff>50800</xdr:rowOff>
    </xdr:to>
    <xdr:pic>
      <xdr:nvPicPr>
        <xdr:cNvPr id="241" name="圖片 240" descr="https://www.slickcharts.com/img/up.gif">
          <a:extLst>
            <a:ext uri="{FF2B5EF4-FFF2-40B4-BE49-F238E27FC236}">
              <a16:creationId xmlns:a16="http://schemas.microsoft.com/office/drawing/2014/main" id="{C32261AE-26D4-4174-9777-A3F0371F0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816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88900</xdr:colOff>
      <xdr:row>264</xdr:row>
      <xdr:rowOff>50800</xdr:rowOff>
    </xdr:to>
    <xdr:pic>
      <xdr:nvPicPr>
        <xdr:cNvPr id="242" name="圖片 241" descr="https://www.slickcharts.com/img/up.gif">
          <a:extLst>
            <a:ext uri="{FF2B5EF4-FFF2-40B4-BE49-F238E27FC236}">
              <a16:creationId xmlns:a16="http://schemas.microsoft.com/office/drawing/2014/main" id="{68373BAA-F526-4B27-AAAB-98320A4AD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03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88900</xdr:colOff>
      <xdr:row>265</xdr:row>
      <xdr:rowOff>50800</xdr:rowOff>
    </xdr:to>
    <xdr:pic>
      <xdr:nvPicPr>
        <xdr:cNvPr id="243" name="圖片 242" descr="https://www.slickcharts.com/img/down.gif">
          <a:extLst>
            <a:ext uri="{FF2B5EF4-FFF2-40B4-BE49-F238E27FC236}">
              <a16:creationId xmlns:a16="http://schemas.microsoft.com/office/drawing/2014/main" id="{EC517957-CCCB-485B-AE69-8E143EFE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247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88900</xdr:colOff>
      <xdr:row>266</xdr:row>
      <xdr:rowOff>50800</xdr:rowOff>
    </xdr:to>
    <xdr:pic>
      <xdr:nvPicPr>
        <xdr:cNvPr id="244" name="圖片 243" descr="https://www.slickcharts.com/img/up.gif">
          <a:extLst>
            <a:ext uri="{FF2B5EF4-FFF2-40B4-BE49-F238E27FC236}">
              <a16:creationId xmlns:a16="http://schemas.microsoft.com/office/drawing/2014/main" id="{7A763637-A8CC-47C2-94B5-2A94019C2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463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88900</xdr:colOff>
      <xdr:row>267</xdr:row>
      <xdr:rowOff>50800</xdr:rowOff>
    </xdr:to>
    <xdr:pic>
      <xdr:nvPicPr>
        <xdr:cNvPr id="245" name="圖片 244" descr="https://www.slickcharts.com/img/up.gif">
          <a:extLst>
            <a:ext uri="{FF2B5EF4-FFF2-40B4-BE49-F238E27FC236}">
              <a16:creationId xmlns:a16="http://schemas.microsoft.com/office/drawing/2014/main" id="{C8652799-5E68-43AD-8678-A7A938DD7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679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88900</xdr:colOff>
      <xdr:row>268</xdr:row>
      <xdr:rowOff>50800</xdr:rowOff>
    </xdr:to>
    <xdr:pic>
      <xdr:nvPicPr>
        <xdr:cNvPr id="246" name="圖片 245" descr="https://www.slickcharts.com/img/up.gif">
          <a:extLst>
            <a:ext uri="{FF2B5EF4-FFF2-40B4-BE49-F238E27FC236}">
              <a16:creationId xmlns:a16="http://schemas.microsoft.com/office/drawing/2014/main" id="{29D607CC-CFC6-4FD8-9453-6240673A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89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88900</xdr:colOff>
      <xdr:row>269</xdr:row>
      <xdr:rowOff>50800</xdr:rowOff>
    </xdr:to>
    <xdr:pic>
      <xdr:nvPicPr>
        <xdr:cNvPr id="247" name="圖片 246" descr="https://www.slickcharts.com/img/up.gif">
          <a:extLst>
            <a:ext uri="{FF2B5EF4-FFF2-40B4-BE49-F238E27FC236}">
              <a16:creationId xmlns:a16="http://schemas.microsoft.com/office/drawing/2014/main" id="{C3FC47FD-0D14-453E-B642-3952938C8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111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88900</xdr:colOff>
      <xdr:row>270</xdr:row>
      <xdr:rowOff>50800</xdr:rowOff>
    </xdr:to>
    <xdr:pic>
      <xdr:nvPicPr>
        <xdr:cNvPr id="248" name="圖片 247" descr="https://www.slickcharts.com/img/up.gif">
          <a:extLst>
            <a:ext uri="{FF2B5EF4-FFF2-40B4-BE49-F238E27FC236}">
              <a16:creationId xmlns:a16="http://schemas.microsoft.com/office/drawing/2014/main" id="{412E7D07-7501-4A08-B9D3-6F70732E0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327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88900</xdr:colOff>
      <xdr:row>271</xdr:row>
      <xdr:rowOff>50800</xdr:rowOff>
    </xdr:to>
    <xdr:pic>
      <xdr:nvPicPr>
        <xdr:cNvPr id="249" name="圖片 248" descr="https://www.slickcharts.com/img/down.gif">
          <a:extLst>
            <a:ext uri="{FF2B5EF4-FFF2-40B4-BE49-F238E27FC236}">
              <a16:creationId xmlns:a16="http://schemas.microsoft.com/office/drawing/2014/main" id="{C4932287-163C-4955-A34D-F4552ADC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543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88900</xdr:colOff>
      <xdr:row>272</xdr:row>
      <xdr:rowOff>50800</xdr:rowOff>
    </xdr:to>
    <xdr:pic>
      <xdr:nvPicPr>
        <xdr:cNvPr id="250" name="圖片 249" descr="https://www.slickcharts.com/img/up.gif">
          <a:extLst>
            <a:ext uri="{FF2B5EF4-FFF2-40B4-BE49-F238E27FC236}">
              <a16:creationId xmlns:a16="http://schemas.microsoft.com/office/drawing/2014/main" id="{4D218996-E1F2-4047-A335-94BC5C1D9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75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88900</xdr:colOff>
      <xdr:row>273</xdr:row>
      <xdr:rowOff>50800</xdr:rowOff>
    </xdr:to>
    <xdr:pic>
      <xdr:nvPicPr>
        <xdr:cNvPr id="251" name="圖片 250" descr="https://www.slickcharts.com/img/up.gif">
          <a:extLst>
            <a:ext uri="{FF2B5EF4-FFF2-40B4-BE49-F238E27FC236}">
              <a16:creationId xmlns:a16="http://schemas.microsoft.com/office/drawing/2014/main" id="{2D07A0E0-EEA6-4CC1-978F-4BA40A9D7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975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88900</xdr:colOff>
      <xdr:row>274</xdr:row>
      <xdr:rowOff>50800</xdr:rowOff>
    </xdr:to>
    <xdr:pic>
      <xdr:nvPicPr>
        <xdr:cNvPr id="252" name="圖片 251" descr="https://www.slickcharts.com/img/up.gif">
          <a:extLst>
            <a:ext uri="{FF2B5EF4-FFF2-40B4-BE49-F238E27FC236}">
              <a16:creationId xmlns:a16="http://schemas.microsoft.com/office/drawing/2014/main" id="{52C5792E-1379-4622-AE9D-19F27F060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190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88900</xdr:colOff>
      <xdr:row>275</xdr:row>
      <xdr:rowOff>50800</xdr:rowOff>
    </xdr:to>
    <xdr:pic>
      <xdr:nvPicPr>
        <xdr:cNvPr id="253" name="圖片 252" descr="https://www.slickcharts.com/img/up.gif">
          <a:extLst>
            <a:ext uri="{FF2B5EF4-FFF2-40B4-BE49-F238E27FC236}">
              <a16:creationId xmlns:a16="http://schemas.microsoft.com/office/drawing/2014/main" id="{8078BD06-8512-4D85-B9B4-B612F94A1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406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88900</xdr:colOff>
      <xdr:row>276</xdr:row>
      <xdr:rowOff>50800</xdr:rowOff>
    </xdr:to>
    <xdr:pic>
      <xdr:nvPicPr>
        <xdr:cNvPr id="254" name="圖片 253" descr="https://www.slickcharts.com/img/up.gif">
          <a:extLst>
            <a:ext uri="{FF2B5EF4-FFF2-40B4-BE49-F238E27FC236}">
              <a16:creationId xmlns:a16="http://schemas.microsoft.com/office/drawing/2014/main" id="{36F86D72-E622-441F-BF61-64983D961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62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88900</xdr:colOff>
      <xdr:row>277</xdr:row>
      <xdr:rowOff>50800</xdr:rowOff>
    </xdr:to>
    <xdr:pic>
      <xdr:nvPicPr>
        <xdr:cNvPr id="255" name="圖片 254" descr="https://www.slickcharts.com/img/up.gif">
          <a:extLst>
            <a:ext uri="{FF2B5EF4-FFF2-40B4-BE49-F238E27FC236}">
              <a16:creationId xmlns:a16="http://schemas.microsoft.com/office/drawing/2014/main" id="{F3BDF76F-2225-43A0-8285-CEB43F61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838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88900</xdr:colOff>
      <xdr:row>278</xdr:row>
      <xdr:rowOff>50800</xdr:rowOff>
    </xdr:to>
    <xdr:pic>
      <xdr:nvPicPr>
        <xdr:cNvPr id="256" name="圖片 255" descr="https://www.slickcharts.com/img/up.gif">
          <a:extLst>
            <a:ext uri="{FF2B5EF4-FFF2-40B4-BE49-F238E27FC236}">
              <a16:creationId xmlns:a16="http://schemas.microsoft.com/office/drawing/2014/main" id="{3EB9388E-6F8C-4340-9499-4171CDA29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054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88900</xdr:colOff>
      <xdr:row>279</xdr:row>
      <xdr:rowOff>50800</xdr:rowOff>
    </xdr:to>
    <xdr:pic>
      <xdr:nvPicPr>
        <xdr:cNvPr id="257" name="圖片 256" descr="https://www.slickcharts.com/img/up.gif">
          <a:extLst>
            <a:ext uri="{FF2B5EF4-FFF2-40B4-BE49-F238E27FC236}">
              <a16:creationId xmlns:a16="http://schemas.microsoft.com/office/drawing/2014/main" id="{8A14CB73-7FAF-41AA-8584-9372224B0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270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88900</xdr:colOff>
      <xdr:row>280</xdr:row>
      <xdr:rowOff>50800</xdr:rowOff>
    </xdr:to>
    <xdr:pic>
      <xdr:nvPicPr>
        <xdr:cNvPr id="258" name="圖片 257" descr="https://www.slickcharts.com/img/up.gif">
          <a:extLst>
            <a:ext uri="{FF2B5EF4-FFF2-40B4-BE49-F238E27FC236}">
              <a16:creationId xmlns:a16="http://schemas.microsoft.com/office/drawing/2014/main" id="{CDA01280-D65D-47C3-910D-11BEA58C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48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88900</xdr:colOff>
      <xdr:row>281</xdr:row>
      <xdr:rowOff>50800</xdr:rowOff>
    </xdr:to>
    <xdr:pic>
      <xdr:nvPicPr>
        <xdr:cNvPr id="259" name="圖片 258" descr="https://www.slickcharts.com/img/up.gif">
          <a:extLst>
            <a:ext uri="{FF2B5EF4-FFF2-40B4-BE49-F238E27FC236}">
              <a16:creationId xmlns:a16="http://schemas.microsoft.com/office/drawing/2014/main" id="{20EA4B69-ACAE-4C95-9DCC-BCA2CA333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702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88900</xdr:colOff>
      <xdr:row>282</xdr:row>
      <xdr:rowOff>50800</xdr:rowOff>
    </xdr:to>
    <xdr:pic>
      <xdr:nvPicPr>
        <xdr:cNvPr id="260" name="圖片 259" descr="https://www.slickcharts.com/img/up.gif">
          <a:extLst>
            <a:ext uri="{FF2B5EF4-FFF2-40B4-BE49-F238E27FC236}">
              <a16:creationId xmlns:a16="http://schemas.microsoft.com/office/drawing/2014/main" id="{452BDCB4-54FB-4200-84B5-AB84C9C8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918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88900</xdr:colOff>
      <xdr:row>283</xdr:row>
      <xdr:rowOff>50800</xdr:rowOff>
    </xdr:to>
    <xdr:pic>
      <xdr:nvPicPr>
        <xdr:cNvPr id="261" name="圖片 260" descr="https://www.slickcharts.com/img/up.gif">
          <a:extLst>
            <a:ext uri="{FF2B5EF4-FFF2-40B4-BE49-F238E27FC236}">
              <a16:creationId xmlns:a16="http://schemas.microsoft.com/office/drawing/2014/main" id="{2685185D-4B4F-48A2-A26C-75C70C9B3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134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88900</xdr:colOff>
      <xdr:row>284</xdr:row>
      <xdr:rowOff>50800</xdr:rowOff>
    </xdr:to>
    <xdr:pic>
      <xdr:nvPicPr>
        <xdr:cNvPr id="262" name="圖片 261" descr="https://www.slickcharts.com/img/up.gif">
          <a:extLst>
            <a:ext uri="{FF2B5EF4-FFF2-40B4-BE49-F238E27FC236}">
              <a16:creationId xmlns:a16="http://schemas.microsoft.com/office/drawing/2014/main" id="{D711F631-C001-42BA-AE4D-760AB5BBE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34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88900</xdr:colOff>
      <xdr:row>285</xdr:row>
      <xdr:rowOff>50800</xdr:rowOff>
    </xdr:to>
    <xdr:pic>
      <xdr:nvPicPr>
        <xdr:cNvPr id="263" name="圖片 262" descr="https://www.slickcharts.com/img/up.gif">
          <a:extLst>
            <a:ext uri="{FF2B5EF4-FFF2-40B4-BE49-F238E27FC236}">
              <a16:creationId xmlns:a16="http://schemas.microsoft.com/office/drawing/2014/main" id="{6E334937-D9C1-4A6A-AE9C-37F798CB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565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88900</xdr:colOff>
      <xdr:row>286</xdr:row>
      <xdr:rowOff>50800</xdr:rowOff>
    </xdr:to>
    <xdr:pic>
      <xdr:nvPicPr>
        <xdr:cNvPr id="264" name="圖片 263" descr="https://www.slickcharts.com/img/up.gif">
          <a:extLst>
            <a:ext uri="{FF2B5EF4-FFF2-40B4-BE49-F238E27FC236}">
              <a16:creationId xmlns:a16="http://schemas.microsoft.com/office/drawing/2014/main" id="{AA8280F8-2710-4F33-97C6-2A75CA629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781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88900</xdr:colOff>
      <xdr:row>10</xdr:row>
      <xdr:rowOff>50800</xdr:rowOff>
    </xdr:to>
    <xdr:pic>
      <xdr:nvPicPr>
        <xdr:cNvPr id="265" name="圖片 264" descr="https://www.slickcharts.com/img/down.gif">
          <a:extLst>
            <a:ext uri="{FF2B5EF4-FFF2-40B4-BE49-F238E27FC236}">
              <a16:creationId xmlns:a16="http://schemas.microsoft.com/office/drawing/2014/main" id="{713F755D-5604-4BC0-AF2F-32E5B3EAA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997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88900</xdr:colOff>
      <xdr:row>287</xdr:row>
      <xdr:rowOff>50800</xdr:rowOff>
    </xdr:to>
    <xdr:pic>
      <xdr:nvPicPr>
        <xdr:cNvPr id="266" name="圖片 265" descr="https://www.slickcharts.com/img/up.gif">
          <a:extLst>
            <a:ext uri="{FF2B5EF4-FFF2-40B4-BE49-F238E27FC236}">
              <a16:creationId xmlns:a16="http://schemas.microsoft.com/office/drawing/2014/main" id="{364409C1-53F6-4331-887F-062223706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21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88900</xdr:colOff>
      <xdr:row>288</xdr:row>
      <xdr:rowOff>50800</xdr:rowOff>
    </xdr:to>
    <xdr:pic>
      <xdr:nvPicPr>
        <xdr:cNvPr id="267" name="圖片 266" descr="https://www.slickcharts.com/img/up.gif">
          <a:extLst>
            <a:ext uri="{FF2B5EF4-FFF2-40B4-BE49-F238E27FC236}">
              <a16:creationId xmlns:a16="http://schemas.microsoft.com/office/drawing/2014/main" id="{37879457-BA1F-4299-A053-295A21678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429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88900</xdr:colOff>
      <xdr:row>11</xdr:row>
      <xdr:rowOff>50800</xdr:rowOff>
    </xdr:to>
    <xdr:pic>
      <xdr:nvPicPr>
        <xdr:cNvPr id="268" name="圖片 267" descr="https://www.slickcharts.com/img/up.gif">
          <a:extLst>
            <a:ext uri="{FF2B5EF4-FFF2-40B4-BE49-F238E27FC236}">
              <a16:creationId xmlns:a16="http://schemas.microsoft.com/office/drawing/2014/main" id="{9476252F-4859-4CC1-B43E-77F2462EF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645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88900</xdr:colOff>
      <xdr:row>45</xdr:row>
      <xdr:rowOff>50800</xdr:rowOff>
    </xdr:to>
    <xdr:pic>
      <xdr:nvPicPr>
        <xdr:cNvPr id="269" name="圖片 268" descr="https://www.slickcharts.com/img/up.gif">
          <a:extLst>
            <a:ext uri="{FF2B5EF4-FFF2-40B4-BE49-F238E27FC236}">
              <a16:creationId xmlns:a16="http://schemas.microsoft.com/office/drawing/2014/main" id="{05678A77-3B61-49E8-860D-C43377AD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861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88900</xdr:colOff>
      <xdr:row>289</xdr:row>
      <xdr:rowOff>50800</xdr:rowOff>
    </xdr:to>
    <xdr:pic>
      <xdr:nvPicPr>
        <xdr:cNvPr id="270" name="圖片 269" descr="https://www.slickcharts.com/img/up.gif">
          <a:extLst>
            <a:ext uri="{FF2B5EF4-FFF2-40B4-BE49-F238E27FC236}">
              <a16:creationId xmlns:a16="http://schemas.microsoft.com/office/drawing/2014/main" id="{D4EF8F11-C4AA-419A-BCC4-CF3EA3E5B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07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88900</xdr:colOff>
      <xdr:row>290</xdr:row>
      <xdr:rowOff>50800</xdr:rowOff>
    </xdr:to>
    <xdr:pic>
      <xdr:nvPicPr>
        <xdr:cNvPr id="271" name="圖片 270" descr="https://www.slickcharts.com/img/up.gif">
          <a:extLst>
            <a:ext uri="{FF2B5EF4-FFF2-40B4-BE49-F238E27FC236}">
              <a16:creationId xmlns:a16="http://schemas.microsoft.com/office/drawing/2014/main" id="{97D85796-9F93-431F-A1B1-5F14D24B5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293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88900</xdr:colOff>
      <xdr:row>291</xdr:row>
      <xdr:rowOff>50800</xdr:rowOff>
    </xdr:to>
    <xdr:pic>
      <xdr:nvPicPr>
        <xdr:cNvPr id="272" name="圖片 271" descr="https://www.slickcharts.com/img/up.gif">
          <a:extLst>
            <a:ext uri="{FF2B5EF4-FFF2-40B4-BE49-F238E27FC236}">
              <a16:creationId xmlns:a16="http://schemas.microsoft.com/office/drawing/2014/main" id="{A7C980A0-EA0A-4D98-8855-BA9EA6A65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508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88900</xdr:colOff>
      <xdr:row>12</xdr:row>
      <xdr:rowOff>50800</xdr:rowOff>
    </xdr:to>
    <xdr:pic>
      <xdr:nvPicPr>
        <xdr:cNvPr id="273" name="圖片 272" descr="https://www.slickcharts.com/img/up.gif">
          <a:extLst>
            <a:ext uri="{FF2B5EF4-FFF2-40B4-BE49-F238E27FC236}">
              <a16:creationId xmlns:a16="http://schemas.microsoft.com/office/drawing/2014/main" id="{69214013-40FC-495A-91A7-7F9E9C8E6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724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88900</xdr:colOff>
      <xdr:row>292</xdr:row>
      <xdr:rowOff>50800</xdr:rowOff>
    </xdr:to>
    <xdr:pic>
      <xdr:nvPicPr>
        <xdr:cNvPr id="274" name="圖片 273" descr="https://www.slickcharts.com/img/up.gif">
          <a:extLst>
            <a:ext uri="{FF2B5EF4-FFF2-40B4-BE49-F238E27FC236}">
              <a16:creationId xmlns:a16="http://schemas.microsoft.com/office/drawing/2014/main" id="{F8C08C2A-6E52-4843-A180-07D7CAB94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94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88900</xdr:colOff>
      <xdr:row>293</xdr:row>
      <xdr:rowOff>50800</xdr:rowOff>
    </xdr:to>
    <xdr:pic>
      <xdr:nvPicPr>
        <xdr:cNvPr id="275" name="圖片 274" descr="https://www.slickcharts.com/img/up.gif">
          <a:extLst>
            <a:ext uri="{FF2B5EF4-FFF2-40B4-BE49-F238E27FC236}">
              <a16:creationId xmlns:a16="http://schemas.microsoft.com/office/drawing/2014/main" id="{049FD5A2-397C-4144-A32D-3218C4D0B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156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88900</xdr:colOff>
      <xdr:row>294</xdr:row>
      <xdr:rowOff>50800</xdr:rowOff>
    </xdr:to>
    <xdr:pic>
      <xdr:nvPicPr>
        <xdr:cNvPr id="276" name="圖片 275" descr="https://www.slickcharts.com/img/up.gif">
          <a:extLst>
            <a:ext uri="{FF2B5EF4-FFF2-40B4-BE49-F238E27FC236}">
              <a16:creationId xmlns:a16="http://schemas.microsoft.com/office/drawing/2014/main" id="{858E9D13-8079-4B60-852D-02DAF6047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372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88900</xdr:colOff>
      <xdr:row>295</xdr:row>
      <xdr:rowOff>50800</xdr:rowOff>
    </xdr:to>
    <xdr:pic>
      <xdr:nvPicPr>
        <xdr:cNvPr id="277" name="圖片 276" descr="https://www.slickcharts.com/img/up.gif">
          <a:extLst>
            <a:ext uri="{FF2B5EF4-FFF2-40B4-BE49-F238E27FC236}">
              <a16:creationId xmlns:a16="http://schemas.microsoft.com/office/drawing/2014/main" id="{53A4169C-9929-43DA-8AD6-4D6E99C8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588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88900</xdr:colOff>
      <xdr:row>296</xdr:row>
      <xdr:rowOff>50800</xdr:rowOff>
    </xdr:to>
    <xdr:pic>
      <xdr:nvPicPr>
        <xdr:cNvPr id="278" name="圖片 277" descr="https://www.slickcharts.com/img/up.gif">
          <a:extLst>
            <a:ext uri="{FF2B5EF4-FFF2-40B4-BE49-F238E27FC236}">
              <a16:creationId xmlns:a16="http://schemas.microsoft.com/office/drawing/2014/main" id="{86FACBE5-2648-47EB-A973-7894E795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80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88900</xdr:colOff>
      <xdr:row>297</xdr:row>
      <xdr:rowOff>50800</xdr:rowOff>
    </xdr:to>
    <xdr:pic>
      <xdr:nvPicPr>
        <xdr:cNvPr id="279" name="圖片 278" descr="https://www.slickcharts.com/img/up.gif">
          <a:extLst>
            <a:ext uri="{FF2B5EF4-FFF2-40B4-BE49-F238E27FC236}">
              <a16:creationId xmlns:a16="http://schemas.microsoft.com/office/drawing/2014/main" id="{8790F467-90A4-449C-A4C4-4F371D402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20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88900</xdr:colOff>
      <xdr:row>298</xdr:row>
      <xdr:rowOff>50800</xdr:rowOff>
    </xdr:to>
    <xdr:pic>
      <xdr:nvPicPr>
        <xdr:cNvPr id="280" name="圖片 279" descr="https://www.slickcharts.com/img/up.gif">
          <a:extLst>
            <a:ext uri="{FF2B5EF4-FFF2-40B4-BE49-F238E27FC236}">
              <a16:creationId xmlns:a16="http://schemas.microsoft.com/office/drawing/2014/main" id="{5B542940-E719-4F22-B707-EFDBC61FC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236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88900</xdr:colOff>
      <xdr:row>299</xdr:row>
      <xdr:rowOff>50800</xdr:rowOff>
    </xdr:to>
    <xdr:pic>
      <xdr:nvPicPr>
        <xdr:cNvPr id="281" name="圖片 280" descr="https://www.slickcharts.com/img/up.gif">
          <a:extLst>
            <a:ext uri="{FF2B5EF4-FFF2-40B4-BE49-F238E27FC236}">
              <a16:creationId xmlns:a16="http://schemas.microsoft.com/office/drawing/2014/main" id="{FB757C80-CB02-43B3-B3AF-968F830AB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452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88900</xdr:colOff>
      <xdr:row>300</xdr:row>
      <xdr:rowOff>50800</xdr:rowOff>
    </xdr:to>
    <xdr:pic>
      <xdr:nvPicPr>
        <xdr:cNvPr id="282" name="圖片 281" descr="https://www.slickcharts.com/img/up.gif">
          <a:extLst>
            <a:ext uri="{FF2B5EF4-FFF2-40B4-BE49-F238E27FC236}">
              <a16:creationId xmlns:a16="http://schemas.microsoft.com/office/drawing/2014/main" id="{E55E7014-BA77-4F9D-B6E9-082BFC46C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66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88900</xdr:colOff>
      <xdr:row>301</xdr:row>
      <xdr:rowOff>50800</xdr:rowOff>
    </xdr:to>
    <xdr:pic>
      <xdr:nvPicPr>
        <xdr:cNvPr id="283" name="圖片 282" descr="https://www.slickcharts.com/img/up.gif">
          <a:extLst>
            <a:ext uri="{FF2B5EF4-FFF2-40B4-BE49-F238E27FC236}">
              <a16:creationId xmlns:a16="http://schemas.microsoft.com/office/drawing/2014/main" id="{A7A5333C-DAE2-4BA3-BCDD-9FC1B3765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883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88900</xdr:colOff>
      <xdr:row>302</xdr:row>
      <xdr:rowOff>50800</xdr:rowOff>
    </xdr:to>
    <xdr:pic>
      <xdr:nvPicPr>
        <xdr:cNvPr id="284" name="圖片 283" descr="https://www.slickcharts.com/img/up.gif">
          <a:extLst>
            <a:ext uri="{FF2B5EF4-FFF2-40B4-BE49-F238E27FC236}">
              <a16:creationId xmlns:a16="http://schemas.microsoft.com/office/drawing/2014/main" id="{5382021E-01DC-4AAF-98A6-C7CC10EE1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099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88900</xdr:colOff>
      <xdr:row>54</xdr:row>
      <xdr:rowOff>50800</xdr:rowOff>
    </xdr:to>
    <xdr:pic>
      <xdr:nvPicPr>
        <xdr:cNvPr id="285" name="圖片 284" descr="https://www.slickcharts.com/img/up.gif">
          <a:extLst>
            <a:ext uri="{FF2B5EF4-FFF2-40B4-BE49-F238E27FC236}">
              <a16:creationId xmlns:a16="http://schemas.microsoft.com/office/drawing/2014/main" id="{EA5BBEA9-C1D9-44F5-A4B5-503C47AE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315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88900</xdr:colOff>
      <xdr:row>303</xdr:row>
      <xdr:rowOff>50800</xdr:rowOff>
    </xdr:to>
    <xdr:pic>
      <xdr:nvPicPr>
        <xdr:cNvPr id="286" name="圖片 285" descr="https://www.slickcharts.com/img/up.gif">
          <a:extLst>
            <a:ext uri="{FF2B5EF4-FFF2-40B4-BE49-F238E27FC236}">
              <a16:creationId xmlns:a16="http://schemas.microsoft.com/office/drawing/2014/main" id="{0A4E3776-4DE9-4E1D-97AF-51A102A69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53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88900</xdr:colOff>
      <xdr:row>46</xdr:row>
      <xdr:rowOff>50800</xdr:rowOff>
    </xdr:to>
    <xdr:pic>
      <xdr:nvPicPr>
        <xdr:cNvPr id="287" name="圖片 286" descr="https://www.slickcharts.com/img/up.gif">
          <a:extLst>
            <a:ext uri="{FF2B5EF4-FFF2-40B4-BE49-F238E27FC236}">
              <a16:creationId xmlns:a16="http://schemas.microsoft.com/office/drawing/2014/main" id="{B9DB43FE-435E-4456-AFC4-E43DDFD7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747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88900</xdr:colOff>
      <xdr:row>304</xdr:row>
      <xdr:rowOff>50800</xdr:rowOff>
    </xdr:to>
    <xdr:pic>
      <xdr:nvPicPr>
        <xdr:cNvPr id="288" name="圖片 287" descr="https://www.slickcharts.com/img/down.gif">
          <a:extLst>
            <a:ext uri="{FF2B5EF4-FFF2-40B4-BE49-F238E27FC236}">
              <a16:creationId xmlns:a16="http://schemas.microsoft.com/office/drawing/2014/main" id="{5C02F9E8-1E0B-4C50-9CC8-5CA0F5BBA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963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88900</xdr:colOff>
      <xdr:row>305</xdr:row>
      <xdr:rowOff>50800</xdr:rowOff>
    </xdr:to>
    <xdr:pic>
      <xdr:nvPicPr>
        <xdr:cNvPr id="289" name="圖片 288" descr="https://www.slickcharts.com/img/up.gif">
          <a:extLst>
            <a:ext uri="{FF2B5EF4-FFF2-40B4-BE49-F238E27FC236}">
              <a16:creationId xmlns:a16="http://schemas.microsoft.com/office/drawing/2014/main" id="{19FD7562-F82E-4BEF-A594-759EAB32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179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88900</xdr:colOff>
      <xdr:row>306</xdr:row>
      <xdr:rowOff>50800</xdr:rowOff>
    </xdr:to>
    <xdr:pic>
      <xdr:nvPicPr>
        <xdr:cNvPr id="290" name="圖片 289" descr="https://www.slickcharts.com/img/up.gif">
          <a:extLst>
            <a:ext uri="{FF2B5EF4-FFF2-40B4-BE49-F238E27FC236}">
              <a16:creationId xmlns:a16="http://schemas.microsoft.com/office/drawing/2014/main" id="{A1294A77-C54D-4CBB-918C-7CEE526E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39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88900</xdr:colOff>
      <xdr:row>307</xdr:row>
      <xdr:rowOff>50800</xdr:rowOff>
    </xdr:to>
    <xdr:pic>
      <xdr:nvPicPr>
        <xdr:cNvPr id="291" name="圖片 290" descr="https://www.slickcharts.com/img/up.gif">
          <a:extLst>
            <a:ext uri="{FF2B5EF4-FFF2-40B4-BE49-F238E27FC236}">
              <a16:creationId xmlns:a16="http://schemas.microsoft.com/office/drawing/2014/main" id="{3135A49D-8908-4464-B266-E8DDF4549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611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88900</xdr:colOff>
      <xdr:row>308</xdr:row>
      <xdr:rowOff>50800</xdr:rowOff>
    </xdr:to>
    <xdr:pic>
      <xdr:nvPicPr>
        <xdr:cNvPr id="292" name="圖片 291" descr="https://www.slickcharts.com/img/up.gif">
          <a:extLst>
            <a:ext uri="{FF2B5EF4-FFF2-40B4-BE49-F238E27FC236}">
              <a16:creationId xmlns:a16="http://schemas.microsoft.com/office/drawing/2014/main" id="{243B4F3E-863F-4FA9-8CC0-4446E46AE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826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88900</xdr:colOff>
      <xdr:row>309</xdr:row>
      <xdr:rowOff>50800</xdr:rowOff>
    </xdr:to>
    <xdr:pic>
      <xdr:nvPicPr>
        <xdr:cNvPr id="293" name="圖片 292" descr="https://www.slickcharts.com/img/up.gif">
          <a:extLst>
            <a:ext uri="{FF2B5EF4-FFF2-40B4-BE49-F238E27FC236}">
              <a16:creationId xmlns:a16="http://schemas.microsoft.com/office/drawing/2014/main" id="{043DE60A-F453-4071-BED8-5495381CB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042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88900</xdr:colOff>
      <xdr:row>310</xdr:row>
      <xdr:rowOff>50800</xdr:rowOff>
    </xdr:to>
    <xdr:pic>
      <xdr:nvPicPr>
        <xdr:cNvPr id="294" name="圖片 293" descr="https://www.slickcharts.com/img/up.gif">
          <a:extLst>
            <a:ext uri="{FF2B5EF4-FFF2-40B4-BE49-F238E27FC236}">
              <a16:creationId xmlns:a16="http://schemas.microsoft.com/office/drawing/2014/main" id="{B7EDE583-CCDC-43D3-96B7-78253D866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25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88900</xdr:colOff>
      <xdr:row>311</xdr:row>
      <xdr:rowOff>50800</xdr:rowOff>
    </xdr:to>
    <xdr:pic>
      <xdr:nvPicPr>
        <xdr:cNvPr id="295" name="圖片 294" descr="https://www.slickcharts.com/img/up.gif">
          <a:extLst>
            <a:ext uri="{FF2B5EF4-FFF2-40B4-BE49-F238E27FC236}">
              <a16:creationId xmlns:a16="http://schemas.microsoft.com/office/drawing/2014/main" id="{0548C98E-A1D7-4F4B-B421-8DDA9447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474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88900</xdr:colOff>
      <xdr:row>312</xdr:row>
      <xdr:rowOff>50800</xdr:rowOff>
    </xdr:to>
    <xdr:pic>
      <xdr:nvPicPr>
        <xdr:cNvPr id="296" name="圖片 295" descr="https://www.slickcharts.com/img/up.gif">
          <a:extLst>
            <a:ext uri="{FF2B5EF4-FFF2-40B4-BE49-F238E27FC236}">
              <a16:creationId xmlns:a16="http://schemas.microsoft.com/office/drawing/2014/main" id="{5B0D3F3D-AB1D-4C1D-9B51-DCDA3691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690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88900</xdr:colOff>
      <xdr:row>313</xdr:row>
      <xdr:rowOff>50800</xdr:rowOff>
    </xdr:to>
    <xdr:pic>
      <xdr:nvPicPr>
        <xdr:cNvPr id="297" name="圖片 296" descr="https://www.slickcharts.com/img/up.gif">
          <a:extLst>
            <a:ext uri="{FF2B5EF4-FFF2-40B4-BE49-F238E27FC236}">
              <a16:creationId xmlns:a16="http://schemas.microsoft.com/office/drawing/2014/main" id="{DCEE1BDA-33E0-471F-A399-EF3C19233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906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88900</xdr:colOff>
      <xdr:row>314</xdr:row>
      <xdr:rowOff>50800</xdr:rowOff>
    </xdr:to>
    <xdr:pic>
      <xdr:nvPicPr>
        <xdr:cNvPr id="298" name="圖片 297" descr="https://www.slickcharts.com/img/up.gif">
          <a:extLst>
            <a:ext uri="{FF2B5EF4-FFF2-40B4-BE49-F238E27FC236}">
              <a16:creationId xmlns:a16="http://schemas.microsoft.com/office/drawing/2014/main" id="{6A2AC62C-0EC6-49E1-9094-FB0063005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12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88900</xdr:colOff>
      <xdr:row>315</xdr:row>
      <xdr:rowOff>50800</xdr:rowOff>
    </xdr:to>
    <xdr:pic>
      <xdr:nvPicPr>
        <xdr:cNvPr id="299" name="圖片 298" descr="https://www.slickcharts.com/img/up.gif">
          <a:extLst>
            <a:ext uri="{FF2B5EF4-FFF2-40B4-BE49-F238E27FC236}">
              <a16:creationId xmlns:a16="http://schemas.microsoft.com/office/drawing/2014/main" id="{2CE02EBD-D6E5-401C-AAFA-E86B7774C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338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88900</xdr:colOff>
      <xdr:row>316</xdr:row>
      <xdr:rowOff>50800</xdr:rowOff>
    </xdr:to>
    <xdr:pic>
      <xdr:nvPicPr>
        <xdr:cNvPr id="300" name="圖片 299" descr="https://www.slickcharts.com/img/up.gif">
          <a:extLst>
            <a:ext uri="{FF2B5EF4-FFF2-40B4-BE49-F238E27FC236}">
              <a16:creationId xmlns:a16="http://schemas.microsoft.com/office/drawing/2014/main" id="{6C7D1C8F-3854-447D-98AE-5A1E6149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554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88900</xdr:colOff>
      <xdr:row>55</xdr:row>
      <xdr:rowOff>50800</xdr:rowOff>
    </xdr:to>
    <xdr:pic>
      <xdr:nvPicPr>
        <xdr:cNvPr id="301" name="圖片 300" descr="https://www.slickcharts.com/img/up.gif">
          <a:extLst>
            <a:ext uri="{FF2B5EF4-FFF2-40B4-BE49-F238E27FC236}">
              <a16:creationId xmlns:a16="http://schemas.microsoft.com/office/drawing/2014/main" id="{B5424A82-5C2A-441F-80B7-B272884AE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770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88900</xdr:colOff>
      <xdr:row>317</xdr:row>
      <xdr:rowOff>50800</xdr:rowOff>
    </xdr:to>
    <xdr:pic>
      <xdr:nvPicPr>
        <xdr:cNvPr id="302" name="圖片 301" descr="https://www.slickcharts.com/img/up.gif">
          <a:extLst>
            <a:ext uri="{FF2B5EF4-FFF2-40B4-BE49-F238E27FC236}">
              <a16:creationId xmlns:a16="http://schemas.microsoft.com/office/drawing/2014/main" id="{23034204-9202-41E1-BDD5-2FD17FAA0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98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88900</xdr:colOff>
      <xdr:row>47</xdr:row>
      <xdr:rowOff>50800</xdr:rowOff>
    </xdr:to>
    <xdr:pic>
      <xdr:nvPicPr>
        <xdr:cNvPr id="303" name="圖片 302" descr="https://www.slickcharts.com/img/up.gif">
          <a:extLst>
            <a:ext uri="{FF2B5EF4-FFF2-40B4-BE49-F238E27FC236}">
              <a16:creationId xmlns:a16="http://schemas.microsoft.com/office/drawing/2014/main" id="{D10C5FC3-F95B-46AA-842E-AE4C0C5B6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201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88900</xdr:colOff>
      <xdr:row>318</xdr:row>
      <xdr:rowOff>50800</xdr:rowOff>
    </xdr:to>
    <xdr:pic>
      <xdr:nvPicPr>
        <xdr:cNvPr id="304" name="圖片 303" descr="https://www.slickcharts.com/img/up.gif">
          <a:extLst>
            <a:ext uri="{FF2B5EF4-FFF2-40B4-BE49-F238E27FC236}">
              <a16:creationId xmlns:a16="http://schemas.microsoft.com/office/drawing/2014/main" id="{4220C2D7-7FDB-4E37-B414-55AF33ABF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417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88900</xdr:colOff>
      <xdr:row>319</xdr:row>
      <xdr:rowOff>50800</xdr:rowOff>
    </xdr:to>
    <xdr:pic>
      <xdr:nvPicPr>
        <xdr:cNvPr id="305" name="圖片 304" descr="https://www.slickcharts.com/img/up.gif">
          <a:extLst>
            <a:ext uri="{FF2B5EF4-FFF2-40B4-BE49-F238E27FC236}">
              <a16:creationId xmlns:a16="http://schemas.microsoft.com/office/drawing/2014/main" id="{C4BBA49E-28CD-4143-BE20-EA514E5C6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633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88900</xdr:colOff>
      <xdr:row>13</xdr:row>
      <xdr:rowOff>50800</xdr:rowOff>
    </xdr:to>
    <xdr:pic>
      <xdr:nvPicPr>
        <xdr:cNvPr id="306" name="圖片 305" descr="https://www.slickcharts.com/img/up.gif">
          <a:extLst>
            <a:ext uri="{FF2B5EF4-FFF2-40B4-BE49-F238E27FC236}">
              <a16:creationId xmlns:a16="http://schemas.microsoft.com/office/drawing/2014/main" id="{8576E6C4-2558-4726-A514-6B6B96EA8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84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88900</xdr:colOff>
      <xdr:row>14</xdr:row>
      <xdr:rowOff>50800</xdr:rowOff>
    </xdr:to>
    <xdr:pic>
      <xdr:nvPicPr>
        <xdr:cNvPr id="307" name="圖片 306" descr="https://www.slickcharts.com/img/down.gif">
          <a:extLst>
            <a:ext uri="{FF2B5EF4-FFF2-40B4-BE49-F238E27FC236}">
              <a16:creationId xmlns:a16="http://schemas.microsoft.com/office/drawing/2014/main" id="{91666A23-A76E-43CE-A516-9D0F9582D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065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88900</xdr:colOff>
      <xdr:row>320</xdr:row>
      <xdr:rowOff>50800</xdr:rowOff>
    </xdr:to>
    <xdr:pic>
      <xdr:nvPicPr>
        <xdr:cNvPr id="308" name="圖片 307" descr="https://www.slickcharts.com/img/up.gif">
          <a:extLst>
            <a:ext uri="{FF2B5EF4-FFF2-40B4-BE49-F238E27FC236}">
              <a16:creationId xmlns:a16="http://schemas.microsoft.com/office/drawing/2014/main" id="{4265DCE4-5F82-4702-A15C-6608257FE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281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88900</xdr:colOff>
      <xdr:row>321</xdr:row>
      <xdr:rowOff>50800</xdr:rowOff>
    </xdr:to>
    <xdr:pic>
      <xdr:nvPicPr>
        <xdr:cNvPr id="309" name="圖片 308" descr="https://www.slickcharts.com/img/up.gif">
          <a:extLst>
            <a:ext uri="{FF2B5EF4-FFF2-40B4-BE49-F238E27FC236}">
              <a16:creationId xmlns:a16="http://schemas.microsoft.com/office/drawing/2014/main" id="{1AFBE37E-AF51-40DF-9B2B-A93A76C14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497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88900</xdr:colOff>
      <xdr:row>322</xdr:row>
      <xdr:rowOff>50800</xdr:rowOff>
    </xdr:to>
    <xdr:pic>
      <xdr:nvPicPr>
        <xdr:cNvPr id="310" name="圖片 309" descr="https://www.slickcharts.com/img/up.gif">
          <a:extLst>
            <a:ext uri="{FF2B5EF4-FFF2-40B4-BE49-F238E27FC236}">
              <a16:creationId xmlns:a16="http://schemas.microsoft.com/office/drawing/2014/main" id="{70782CFB-97F2-4CE7-9F9B-53E54B3EC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71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88900</xdr:colOff>
      <xdr:row>323</xdr:row>
      <xdr:rowOff>50800</xdr:rowOff>
    </xdr:to>
    <xdr:pic>
      <xdr:nvPicPr>
        <xdr:cNvPr id="311" name="圖片 310" descr="https://www.slickcharts.com/img/up.gif">
          <a:extLst>
            <a:ext uri="{FF2B5EF4-FFF2-40B4-BE49-F238E27FC236}">
              <a16:creationId xmlns:a16="http://schemas.microsoft.com/office/drawing/2014/main" id="{BF40011E-FA41-4336-93F4-571DA6371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929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88900</xdr:colOff>
      <xdr:row>324</xdr:row>
      <xdr:rowOff>50800</xdr:rowOff>
    </xdr:to>
    <xdr:pic>
      <xdr:nvPicPr>
        <xdr:cNvPr id="312" name="圖片 311" descr="https://www.slickcharts.com/img/up.gif">
          <a:extLst>
            <a:ext uri="{FF2B5EF4-FFF2-40B4-BE49-F238E27FC236}">
              <a16:creationId xmlns:a16="http://schemas.microsoft.com/office/drawing/2014/main" id="{A0461410-0539-424C-A0A9-C5EE345B9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144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88900</xdr:colOff>
      <xdr:row>325</xdr:row>
      <xdr:rowOff>50800</xdr:rowOff>
    </xdr:to>
    <xdr:pic>
      <xdr:nvPicPr>
        <xdr:cNvPr id="313" name="圖片 312" descr="https://www.slickcharts.com/img/up.gif">
          <a:extLst>
            <a:ext uri="{FF2B5EF4-FFF2-40B4-BE49-F238E27FC236}">
              <a16:creationId xmlns:a16="http://schemas.microsoft.com/office/drawing/2014/main" id="{3DD3006E-7E45-4CC9-A12F-A447D5B9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360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88900</xdr:colOff>
      <xdr:row>326</xdr:row>
      <xdr:rowOff>50800</xdr:rowOff>
    </xdr:to>
    <xdr:pic>
      <xdr:nvPicPr>
        <xdr:cNvPr id="314" name="圖片 313" descr="https://www.slickcharts.com/img/up.gif">
          <a:extLst>
            <a:ext uri="{FF2B5EF4-FFF2-40B4-BE49-F238E27FC236}">
              <a16:creationId xmlns:a16="http://schemas.microsoft.com/office/drawing/2014/main" id="{D5F55482-6ECC-498B-BAE4-E1E1DAD8D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57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88900</xdr:colOff>
      <xdr:row>327</xdr:row>
      <xdr:rowOff>50800</xdr:rowOff>
    </xdr:to>
    <xdr:pic>
      <xdr:nvPicPr>
        <xdr:cNvPr id="315" name="圖片 314" descr="https://www.slickcharts.com/img/up.gif">
          <a:extLst>
            <a:ext uri="{FF2B5EF4-FFF2-40B4-BE49-F238E27FC236}">
              <a16:creationId xmlns:a16="http://schemas.microsoft.com/office/drawing/2014/main" id="{7304B7FD-42AF-4214-BFB8-314492AE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792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88900</xdr:colOff>
      <xdr:row>328</xdr:row>
      <xdr:rowOff>50800</xdr:rowOff>
    </xdr:to>
    <xdr:pic>
      <xdr:nvPicPr>
        <xdr:cNvPr id="316" name="圖片 315" descr="https://www.slickcharts.com/img/up.gif">
          <a:extLst>
            <a:ext uri="{FF2B5EF4-FFF2-40B4-BE49-F238E27FC236}">
              <a16:creationId xmlns:a16="http://schemas.microsoft.com/office/drawing/2014/main" id="{5873A167-D1F7-423A-88B9-DB3874B3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008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88900</xdr:colOff>
      <xdr:row>329</xdr:row>
      <xdr:rowOff>50800</xdr:rowOff>
    </xdr:to>
    <xdr:pic>
      <xdr:nvPicPr>
        <xdr:cNvPr id="317" name="圖片 316" descr="https://www.slickcharts.com/img/up.gif">
          <a:extLst>
            <a:ext uri="{FF2B5EF4-FFF2-40B4-BE49-F238E27FC236}">
              <a16:creationId xmlns:a16="http://schemas.microsoft.com/office/drawing/2014/main" id="{FEBA640A-2819-4E4C-A9C7-8F993A2A1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224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88900</xdr:colOff>
      <xdr:row>330</xdr:row>
      <xdr:rowOff>50800</xdr:rowOff>
    </xdr:to>
    <xdr:pic>
      <xdr:nvPicPr>
        <xdr:cNvPr id="318" name="圖片 317" descr="https://www.slickcharts.com/img/up.gif">
          <a:extLst>
            <a:ext uri="{FF2B5EF4-FFF2-40B4-BE49-F238E27FC236}">
              <a16:creationId xmlns:a16="http://schemas.microsoft.com/office/drawing/2014/main" id="{A4A8985E-CEE6-4DA6-960F-D08B2C6C8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44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88900</xdr:colOff>
      <xdr:row>331</xdr:row>
      <xdr:rowOff>50800</xdr:rowOff>
    </xdr:to>
    <xdr:pic>
      <xdr:nvPicPr>
        <xdr:cNvPr id="319" name="圖片 318" descr="https://www.slickcharts.com/img/up.gif">
          <a:extLst>
            <a:ext uri="{FF2B5EF4-FFF2-40B4-BE49-F238E27FC236}">
              <a16:creationId xmlns:a16="http://schemas.microsoft.com/office/drawing/2014/main" id="{DE9701E6-9D62-4346-AEC6-18BC65F16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656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88900</xdr:colOff>
      <xdr:row>332</xdr:row>
      <xdr:rowOff>50800</xdr:rowOff>
    </xdr:to>
    <xdr:pic>
      <xdr:nvPicPr>
        <xdr:cNvPr id="320" name="圖片 319" descr="https://www.slickcharts.com/img/up.gif">
          <a:extLst>
            <a:ext uri="{FF2B5EF4-FFF2-40B4-BE49-F238E27FC236}">
              <a16:creationId xmlns:a16="http://schemas.microsoft.com/office/drawing/2014/main" id="{A5E067D9-7EAA-4E20-B167-F47B50781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872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88900</xdr:colOff>
      <xdr:row>333</xdr:row>
      <xdr:rowOff>50800</xdr:rowOff>
    </xdr:to>
    <xdr:pic>
      <xdr:nvPicPr>
        <xdr:cNvPr id="321" name="圖片 320" descr="https://www.slickcharts.com/img/up.gif">
          <a:extLst>
            <a:ext uri="{FF2B5EF4-FFF2-40B4-BE49-F238E27FC236}">
              <a16:creationId xmlns:a16="http://schemas.microsoft.com/office/drawing/2014/main" id="{D931CA46-5D12-4336-9A2D-400EE39F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088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88900</xdr:colOff>
      <xdr:row>334</xdr:row>
      <xdr:rowOff>50800</xdr:rowOff>
    </xdr:to>
    <xdr:pic>
      <xdr:nvPicPr>
        <xdr:cNvPr id="322" name="圖片 321" descr="https://www.slickcharts.com/img/up.gif">
          <a:extLst>
            <a:ext uri="{FF2B5EF4-FFF2-40B4-BE49-F238E27FC236}">
              <a16:creationId xmlns:a16="http://schemas.microsoft.com/office/drawing/2014/main" id="{330BE2BA-953B-4A2C-984D-E0C8E0BCA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30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88900</xdr:colOff>
      <xdr:row>335</xdr:row>
      <xdr:rowOff>50800</xdr:rowOff>
    </xdr:to>
    <xdr:pic>
      <xdr:nvPicPr>
        <xdr:cNvPr id="323" name="圖片 322" descr="https://www.slickcharts.com/img/up.gif">
          <a:extLst>
            <a:ext uri="{FF2B5EF4-FFF2-40B4-BE49-F238E27FC236}">
              <a16:creationId xmlns:a16="http://schemas.microsoft.com/office/drawing/2014/main" id="{C6604627-03D8-4CCA-BB4A-96E221B1F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519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88900</xdr:colOff>
      <xdr:row>56</xdr:row>
      <xdr:rowOff>50800</xdr:rowOff>
    </xdr:to>
    <xdr:pic>
      <xdr:nvPicPr>
        <xdr:cNvPr id="324" name="圖片 323" descr="https://www.slickcharts.com/img/up.gif">
          <a:extLst>
            <a:ext uri="{FF2B5EF4-FFF2-40B4-BE49-F238E27FC236}">
              <a16:creationId xmlns:a16="http://schemas.microsoft.com/office/drawing/2014/main" id="{D92A50EC-1A72-4076-9508-7E1755958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735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88900</xdr:colOff>
      <xdr:row>336</xdr:row>
      <xdr:rowOff>50800</xdr:rowOff>
    </xdr:to>
    <xdr:pic>
      <xdr:nvPicPr>
        <xdr:cNvPr id="325" name="圖片 324" descr="https://www.slickcharts.com/img/up.gif">
          <a:extLst>
            <a:ext uri="{FF2B5EF4-FFF2-40B4-BE49-F238E27FC236}">
              <a16:creationId xmlns:a16="http://schemas.microsoft.com/office/drawing/2014/main" id="{1F07B65A-DBD9-4374-A856-184A4E811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951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88900</xdr:colOff>
      <xdr:row>337</xdr:row>
      <xdr:rowOff>50800</xdr:rowOff>
    </xdr:to>
    <xdr:pic>
      <xdr:nvPicPr>
        <xdr:cNvPr id="326" name="圖片 325" descr="https://www.slickcharts.com/img/up.gif">
          <a:extLst>
            <a:ext uri="{FF2B5EF4-FFF2-40B4-BE49-F238E27FC236}">
              <a16:creationId xmlns:a16="http://schemas.microsoft.com/office/drawing/2014/main" id="{9D4F1768-3016-4BD8-BC5C-9E3F0941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16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88900</xdr:colOff>
      <xdr:row>338</xdr:row>
      <xdr:rowOff>50800</xdr:rowOff>
    </xdr:to>
    <xdr:pic>
      <xdr:nvPicPr>
        <xdr:cNvPr id="327" name="圖片 326" descr="https://www.slickcharts.com/img/up.gif">
          <a:extLst>
            <a:ext uri="{FF2B5EF4-FFF2-40B4-BE49-F238E27FC236}">
              <a16:creationId xmlns:a16="http://schemas.microsoft.com/office/drawing/2014/main" id="{66CDF9CA-43EF-48E7-81B6-81907BF32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383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88900</xdr:colOff>
      <xdr:row>339</xdr:row>
      <xdr:rowOff>50800</xdr:rowOff>
    </xdr:to>
    <xdr:pic>
      <xdr:nvPicPr>
        <xdr:cNvPr id="328" name="圖片 327" descr="https://www.slickcharts.com/img/up.gif">
          <a:extLst>
            <a:ext uri="{FF2B5EF4-FFF2-40B4-BE49-F238E27FC236}">
              <a16:creationId xmlns:a16="http://schemas.microsoft.com/office/drawing/2014/main" id="{8EC3DEF1-0B39-4BFF-93B7-6449FA2F1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599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88900</xdr:colOff>
      <xdr:row>340</xdr:row>
      <xdr:rowOff>50800</xdr:rowOff>
    </xdr:to>
    <xdr:pic>
      <xdr:nvPicPr>
        <xdr:cNvPr id="329" name="圖片 328" descr="https://www.slickcharts.com/img/up.gif">
          <a:extLst>
            <a:ext uri="{FF2B5EF4-FFF2-40B4-BE49-F238E27FC236}">
              <a16:creationId xmlns:a16="http://schemas.microsoft.com/office/drawing/2014/main" id="{4AB37B46-30F7-467B-AE5A-9ADD4014A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815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88900</xdr:colOff>
      <xdr:row>341</xdr:row>
      <xdr:rowOff>50800</xdr:rowOff>
    </xdr:to>
    <xdr:pic>
      <xdr:nvPicPr>
        <xdr:cNvPr id="330" name="圖片 329" descr="https://www.slickcharts.com/img/down.gif">
          <a:extLst>
            <a:ext uri="{FF2B5EF4-FFF2-40B4-BE49-F238E27FC236}">
              <a16:creationId xmlns:a16="http://schemas.microsoft.com/office/drawing/2014/main" id="{2A1652EA-2A5F-4087-B4C9-246FCE3C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03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88900</xdr:colOff>
      <xdr:row>342</xdr:row>
      <xdr:rowOff>50800</xdr:rowOff>
    </xdr:to>
    <xdr:pic>
      <xdr:nvPicPr>
        <xdr:cNvPr id="331" name="圖片 330" descr="https://www.slickcharts.com/img/up.gif">
          <a:extLst>
            <a:ext uri="{FF2B5EF4-FFF2-40B4-BE49-F238E27FC236}">
              <a16:creationId xmlns:a16="http://schemas.microsoft.com/office/drawing/2014/main" id="{C9471E56-62A6-4499-A52B-AF1606FFD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247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88900</xdr:colOff>
      <xdr:row>343</xdr:row>
      <xdr:rowOff>50800</xdr:rowOff>
    </xdr:to>
    <xdr:pic>
      <xdr:nvPicPr>
        <xdr:cNvPr id="332" name="圖片 331" descr="https://www.slickcharts.com/img/up.gif">
          <a:extLst>
            <a:ext uri="{FF2B5EF4-FFF2-40B4-BE49-F238E27FC236}">
              <a16:creationId xmlns:a16="http://schemas.microsoft.com/office/drawing/2014/main" id="{0E986569-3BE9-4403-9B99-F839F5FC5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462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88900</xdr:colOff>
      <xdr:row>344</xdr:row>
      <xdr:rowOff>50800</xdr:rowOff>
    </xdr:to>
    <xdr:pic>
      <xdr:nvPicPr>
        <xdr:cNvPr id="333" name="圖片 332" descr="https://www.slickcharts.com/img/up.gif">
          <a:extLst>
            <a:ext uri="{FF2B5EF4-FFF2-40B4-BE49-F238E27FC236}">
              <a16:creationId xmlns:a16="http://schemas.microsoft.com/office/drawing/2014/main" id="{EA6030EC-8D70-4115-A984-4DF1B744E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678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88900</xdr:colOff>
      <xdr:row>345</xdr:row>
      <xdr:rowOff>50800</xdr:rowOff>
    </xdr:to>
    <xdr:pic>
      <xdr:nvPicPr>
        <xdr:cNvPr id="334" name="圖片 333" descr="https://www.slickcharts.com/img/down.gif">
          <a:extLst>
            <a:ext uri="{FF2B5EF4-FFF2-40B4-BE49-F238E27FC236}">
              <a16:creationId xmlns:a16="http://schemas.microsoft.com/office/drawing/2014/main" id="{856AD587-2679-4981-9E55-239B0B68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89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88900</xdr:colOff>
      <xdr:row>346</xdr:row>
      <xdr:rowOff>50800</xdr:rowOff>
    </xdr:to>
    <xdr:pic>
      <xdr:nvPicPr>
        <xdr:cNvPr id="335" name="圖片 334" descr="https://www.slickcharts.com/img/up.gif">
          <a:extLst>
            <a:ext uri="{FF2B5EF4-FFF2-40B4-BE49-F238E27FC236}">
              <a16:creationId xmlns:a16="http://schemas.microsoft.com/office/drawing/2014/main" id="{0D7B1634-6757-4410-9663-7FB2B999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110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88900</xdr:colOff>
      <xdr:row>347</xdr:row>
      <xdr:rowOff>50800</xdr:rowOff>
    </xdr:to>
    <xdr:pic>
      <xdr:nvPicPr>
        <xdr:cNvPr id="336" name="圖片 335" descr="https://www.slickcharts.com/img/up.gif">
          <a:extLst>
            <a:ext uri="{FF2B5EF4-FFF2-40B4-BE49-F238E27FC236}">
              <a16:creationId xmlns:a16="http://schemas.microsoft.com/office/drawing/2014/main" id="{4B4F7EF5-0977-4202-AA73-A00A66C82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326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88900</xdr:colOff>
      <xdr:row>348</xdr:row>
      <xdr:rowOff>50800</xdr:rowOff>
    </xdr:to>
    <xdr:pic>
      <xdr:nvPicPr>
        <xdr:cNvPr id="337" name="圖片 336" descr="https://www.slickcharts.com/img/up.gif">
          <a:extLst>
            <a:ext uri="{FF2B5EF4-FFF2-40B4-BE49-F238E27FC236}">
              <a16:creationId xmlns:a16="http://schemas.microsoft.com/office/drawing/2014/main" id="{F0FAEC0A-B508-4281-B90C-318A7B036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542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88900</xdr:colOff>
      <xdr:row>57</xdr:row>
      <xdr:rowOff>50800</xdr:rowOff>
    </xdr:to>
    <xdr:pic>
      <xdr:nvPicPr>
        <xdr:cNvPr id="338" name="圖片 337" descr="https://www.slickcharts.com/img/down.gif">
          <a:extLst>
            <a:ext uri="{FF2B5EF4-FFF2-40B4-BE49-F238E27FC236}">
              <a16:creationId xmlns:a16="http://schemas.microsoft.com/office/drawing/2014/main" id="{44F70FF3-0D76-42BD-98E3-A5CE2E7E5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75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88900</xdr:colOff>
      <xdr:row>349</xdr:row>
      <xdr:rowOff>50800</xdr:rowOff>
    </xdr:to>
    <xdr:pic>
      <xdr:nvPicPr>
        <xdr:cNvPr id="339" name="圖片 338" descr="https://www.slickcharts.com/img/up.gif">
          <a:extLst>
            <a:ext uri="{FF2B5EF4-FFF2-40B4-BE49-F238E27FC236}">
              <a16:creationId xmlns:a16="http://schemas.microsoft.com/office/drawing/2014/main" id="{DA613E79-F763-40B1-81D0-73BD911A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974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88900</xdr:colOff>
      <xdr:row>350</xdr:row>
      <xdr:rowOff>50800</xdr:rowOff>
    </xdr:to>
    <xdr:pic>
      <xdr:nvPicPr>
        <xdr:cNvPr id="340" name="圖片 339" descr="https://www.slickcharts.com/img/up.gif">
          <a:extLst>
            <a:ext uri="{FF2B5EF4-FFF2-40B4-BE49-F238E27FC236}">
              <a16:creationId xmlns:a16="http://schemas.microsoft.com/office/drawing/2014/main" id="{747B0271-EEF0-4373-BDBF-84E7D0DA7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190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88900</xdr:colOff>
      <xdr:row>351</xdr:row>
      <xdr:rowOff>50800</xdr:rowOff>
    </xdr:to>
    <xdr:pic>
      <xdr:nvPicPr>
        <xdr:cNvPr id="341" name="圖片 340" descr="https://www.slickcharts.com/img/up.gif">
          <a:extLst>
            <a:ext uri="{FF2B5EF4-FFF2-40B4-BE49-F238E27FC236}">
              <a16:creationId xmlns:a16="http://schemas.microsoft.com/office/drawing/2014/main" id="{67C3C529-DC81-4A7A-BC00-F5988F3DF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406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88900</xdr:colOff>
      <xdr:row>18</xdr:row>
      <xdr:rowOff>50800</xdr:rowOff>
    </xdr:to>
    <xdr:pic>
      <xdr:nvPicPr>
        <xdr:cNvPr id="342" name="圖片 341" descr="https://www.slickcharts.com/img/up.gif">
          <a:extLst>
            <a:ext uri="{FF2B5EF4-FFF2-40B4-BE49-F238E27FC236}">
              <a16:creationId xmlns:a16="http://schemas.microsoft.com/office/drawing/2014/main" id="{C097FE27-9FE7-4B9B-B03A-6138D68D3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62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88900</xdr:colOff>
      <xdr:row>352</xdr:row>
      <xdr:rowOff>50800</xdr:rowOff>
    </xdr:to>
    <xdr:pic>
      <xdr:nvPicPr>
        <xdr:cNvPr id="343" name="圖片 342" descr="https://www.slickcharts.com/img/up.gif">
          <a:extLst>
            <a:ext uri="{FF2B5EF4-FFF2-40B4-BE49-F238E27FC236}">
              <a16:creationId xmlns:a16="http://schemas.microsoft.com/office/drawing/2014/main" id="{3741DA4C-26E7-4801-B9E7-E3F476B77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837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88900</xdr:colOff>
      <xdr:row>353</xdr:row>
      <xdr:rowOff>50800</xdr:rowOff>
    </xdr:to>
    <xdr:pic>
      <xdr:nvPicPr>
        <xdr:cNvPr id="344" name="圖片 343" descr="https://www.slickcharts.com/img/up.gif">
          <a:extLst>
            <a:ext uri="{FF2B5EF4-FFF2-40B4-BE49-F238E27FC236}">
              <a16:creationId xmlns:a16="http://schemas.microsoft.com/office/drawing/2014/main" id="{B975EFD2-BABC-4EFD-BDC9-C41F26FC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053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88900</xdr:colOff>
      <xdr:row>354</xdr:row>
      <xdr:rowOff>50800</xdr:rowOff>
    </xdr:to>
    <xdr:pic>
      <xdr:nvPicPr>
        <xdr:cNvPr id="345" name="圖片 344" descr="https://www.slickcharts.com/img/up.gif">
          <a:extLst>
            <a:ext uri="{FF2B5EF4-FFF2-40B4-BE49-F238E27FC236}">
              <a16:creationId xmlns:a16="http://schemas.microsoft.com/office/drawing/2014/main" id="{EEE8C683-A60D-4A60-B63C-BC15B3451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269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88900</xdr:colOff>
      <xdr:row>355</xdr:row>
      <xdr:rowOff>50800</xdr:rowOff>
    </xdr:to>
    <xdr:pic>
      <xdr:nvPicPr>
        <xdr:cNvPr id="346" name="圖片 345" descr="https://www.slickcharts.com/img/up.gif">
          <a:extLst>
            <a:ext uri="{FF2B5EF4-FFF2-40B4-BE49-F238E27FC236}">
              <a16:creationId xmlns:a16="http://schemas.microsoft.com/office/drawing/2014/main" id="{00FD1C3E-C4F9-47FC-9F6A-DB3C47948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48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88900</xdr:colOff>
      <xdr:row>356</xdr:row>
      <xdr:rowOff>50800</xdr:rowOff>
    </xdr:to>
    <xdr:pic>
      <xdr:nvPicPr>
        <xdr:cNvPr id="347" name="圖片 346" descr="https://www.slickcharts.com/img/up.gif">
          <a:extLst>
            <a:ext uri="{FF2B5EF4-FFF2-40B4-BE49-F238E27FC236}">
              <a16:creationId xmlns:a16="http://schemas.microsoft.com/office/drawing/2014/main" id="{7F43C4E9-BF44-4C6A-80A7-6F1117116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701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88900</xdr:colOff>
      <xdr:row>357</xdr:row>
      <xdr:rowOff>50800</xdr:rowOff>
    </xdr:to>
    <xdr:pic>
      <xdr:nvPicPr>
        <xdr:cNvPr id="348" name="圖片 347" descr="https://www.slickcharts.com/img/up.gif">
          <a:extLst>
            <a:ext uri="{FF2B5EF4-FFF2-40B4-BE49-F238E27FC236}">
              <a16:creationId xmlns:a16="http://schemas.microsoft.com/office/drawing/2014/main" id="{5C567867-A8B3-4427-AD17-B525ACC19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917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88900</xdr:colOff>
      <xdr:row>358</xdr:row>
      <xdr:rowOff>50800</xdr:rowOff>
    </xdr:to>
    <xdr:pic>
      <xdr:nvPicPr>
        <xdr:cNvPr id="349" name="圖片 348" descr="https://www.slickcharts.com/img/up.gif">
          <a:extLst>
            <a:ext uri="{FF2B5EF4-FFF2-40B4-BE49-F238E27FC236}">
              <a16:creationId xmlns:a16="http://schemas.microsoft.com/office/drawing/2014/main" id="{3E61291D-D58E-4104-9477-80FF1443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133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88900</xdr:colOff>
      <xdr:row>359</xdr:row>
      <xdr:rowOff>50800</xdr:rowOff>
    </xdr:to>
    <xdr:pic>
      <xdr:nvPicPr>
        <xdr:cNvPr id="350" name="圖片 349" descr="https://www.slickcharts.com/img/up.gif">
          <a:extLst>
            <a:ext uri="{FF2B5EF4-FFF2-40B4-BE49-F238E27FC236}">
              <a16:creationId xmlns:a16="http://schemas.microsoft.com/office/drawing/2014/main" id="{8D37CA1B-B279-488B-BD0D-DA9A093BE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34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88900</xdr:colOff>
      <xdr:row>360</xdr:row>
      <xdr:rowOff>50800</xdr:rowOff>
    </xdr:to>
    <xdr:pic>
      <xdr:nvPicPr>
        <xdr:cNvPr id="351" name="圖片 350" descr="https://www.slickcharts.com/img/up.gif">
          <a:extLst>
            <a:ext uri="{FF2B5EF4-FFF2-40B4-BE49-F238E27FC236}">
              <a16:creationId xmlns:a16="http://schemas.microsoft.com/office/drawing/2014/main" id="{A2B57453-2E06-4773-A266-101BAFF62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565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88900</xdr:colOff>
      <xdr:row>58</xdr:row>
      <xdr:rowOff>50800</xdr:rowOff>
    </xdr:to>
    <xdr:pic>
      <xdr:nvPicPr>
        <xdr:cNvPr id="352" name="圖片 351" descr="https://www.slickcharts.com/img/up.gif">
          <a:extLst>
            <a:ext uri="{FF2B5EF4-FFF2-40B4-BE49-F238E27FC236}">
              <a16:creationId xmlns:a16="http://schemas.microsoft.com/office/drawing/2014/main" id="{B8F38C17-9251-4CC2-94AF-D5B20FBC9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780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88900</xdr:colOff>
      <xdr:row>361</xdr:row>
      <xdr:rowOff>50800</xdr:rowOff>
    </xdr:to>
    <xdr:pic>
      <xdr:nvPicPr>
        <xdr:cNvPr id="353" name="圖片 352" descr="https://www.slickcharts.com/img/down.gif">
          <a:extLst>
            <a:ext uri="{FF2B5EF4-FFF2-40B4-BE49-F238E27FC236}">
              <a16:creationId xmlns:a16="http://schemas.microsoft.com/office/drawing/2014/main" id="{6F387128-CE8C-41CB-B1CE-B276CDE46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996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88900</xdr:colOff>
      <xdr:row>362</xdr:row>
      <xdr:rowOff>50800</xdr:rowOff>
    </xdr:to>
    <xdr:pic>
      <xdr:nvPicPr>
        <xdr:cNvPr id="354" name="圖片 353" descr="https://www.slickcharts.com/img/up.gif">
          <a:extLst>
            <a:ext uri="{FF2B5EF4-FFF2-40B4-BE49-F238E27FC236}">
              <a16:creationId xmlns:a16="http://schemas.microsoft.com/office/drawing/2014/main" id="{94589C7A-A0D6-4614-B233-43918EF1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21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88900</xdr:colOff>
      <xdr:row>363</xdr:row>
      <xdr:rowOff>50800</xdr:rowOff>
    </xdr:to>
    <xdr:pic>
      <xdr:nvPicPr>
        <xdr:cNvPr id="355" name="圖片 354" descr="https://www.slickcharts.com/img/up.gif">
          <a:extLst>
            <a:ext uri="{FF2B5EF4-FFF2-40B4-BE49-F238E27FC236}">
              <a16:creationId xmlns:a16="http://schemas.microsoft.com/office/drawing/2014/main" id="{49B9262E-A15A-409A-AC7F-3EEDEB0D3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428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88900</xdr:colOff>
      <xdr:row>364</xdr:row>
      <xdr:rowOff>50800</xdr:rowOff>
    </xdr:to>
    <xdr:pic>
      <xdr:nvPicPr>
        <xdr:cNvPr id="356" name="圖片 355" descr="https://www.slickcharts.com/img/up.gif">
          <a:extLst>
            <a:ext uri="{FF2B5EF4-FFF2-40B4-BE49-F238E27FC236}">
              <a16:creationId xmlns:a16="http://schemas.microsoft.com/office/drawing/2014/main" id="{18EAB1D3-025E-4BD7-8D2A-1DC09F50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644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88900</xdr:colOff>
      <xdr:row>365</xdr:row>
      <xdr:rowOff>50800</xdr:rowOff>
    </xdr:to>
    <xdr:pic>
      <xdr:nvPicPr>
        <xdr:cNvPr id="357" name="圖片 356" descr="https://www.slickcharts.com/img/up.gif">
          <a:extLst>
            <a:ext uri="{FF2B5EF4-FFF2-40B4-BE49-F238E27FC236}">
              <a16:creationId xmlns:a16="http://schemas.microsoft.com/office/drawing/2014/main" id="{B40B162A-3B6C-46A2-BF74-D06BD1044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860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88900</xdr:colOff>
      <xdr:row>366</xdr:row>
      <xdr:rowOff>50800</xdr:rowOff>
    </xdr:to>
    <xdr:pic>
      <xdr:nvPicPr>
        <xdr:cNvPr id="358" name="圖片 357" descr="https://www.slickcharts.com/img/up.gif">
          <a:extLst>
            <a:ext uri="{FF2B5EF4-FFF2-40B4-BE49-F238E27FC236}">
              <a16:creationId xmlns:a16="http://schemas.microsoft.com/office/drawing/2014/main" id="{2F4143DC-4BD1-40FD-BFD4-7B19DFF86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07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88900</xdr:colOff>
      <xdr:row>367</xdr:row>
      <xdr:rowOff>50800</xdr:rowOff>
    </xdr:to>
    <xdr:pic>
      <xdr:nvPicPr>
        <xdr:cNvPr id="359" name="圖片 358" descr="https://www.slickcharts.com/img/up.gif">
          <a:extLst>
            <a:ext uri="{FF2B5EF4-FFF2-40B4-BE49-F238E27FC236}">
              <a16:creationId xmlns:a16="http://schemas.microsoft.com/office/drawing/2014/main" id="{B3CD1EDD-68B4-4E8E-9E19-4ECFF0D18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292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88900</xdr:colOff>
      <xdr:row>368</xdr:row>
      <xdr:rowOff>50800</xdr:rowOff>
    </xdr:to>
    <xdr:pic>
      <xdr:nvPicPr>
        <xdr:cNvPr id="360" name="圖片 359" descr="https://www.slickcharts.com/img/up.gif">
          <a:extLst>
            <a:ext uri="{FF2B5EF4-FFF2-40B4-BE49-F238E27FC236}">
              <a16:creationId xmlns:a16="http://schemas.microsoft.com/office/drawing/2014/main" id="{E62062D8-ADEC-4C23-8A41-4B8F92CA6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508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88900</xdr:colOff>
      <xdr:row>369</xdr:row>
      <xdr:rowOff>50800</xdr:rowOff>
    </xdr:to>
    <xdr:pic>
      <xdr:nvPicPr>
        <xdr:cNvPr id="361" name="圖片 360" descr="https://www.slickcharts.com/img/up.gif">
          <a:extLst>
            <a:ext uri="{FF2B5EF4-FFF2-40B4-BE49-F238E27FC236}">
              <a16:creationId xmlns:a16="http://schemas.microsoft.com/office/drawing/2014/main" id="{88850D32-DF84-499F-A62E-F71A94C13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724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88900</xdr:colOff>
      <xdr:row>370</xdr:row>
      <xdr:rowOff>50800</xdr:rowOff>
    </xdr:to>
    <xdr:pic>
      <xdr:nvPicPr>
        <xdr:cNvPr id="362" name="圖片 361" descr="https://www.slickcharts.com/img/up.gif">
          <a:extLst>
            <a:ext uri="{FF2B5EF4-FFF2-40B4-BE49-F238E27FC236}">
              <a16:creationId xmlns:a16="http://schemas.microsoft.com/office/drawing/2014/main" id="{A3959C53-3977-407D-BBB1-A8A32C75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93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88900</xdr:colOff>
      <xdr:row>371</xdr:row>
      <xdr:rowOff>50800</xdr:rowOff>
    </xdr:to>
    <xdr:pic>
      <xdr:nvPicPr>
        <xdr:cNvPr id="363" name="圖片 362" descr="https://www.slickcharts.com/img/up.gif">
          <a:extLst>
            <a:ext uri="{FF2B5EF4-FFF2-40B4-BE49-F238E27FC236}">
              <a16:creationId xmlns:a16="http://schemas.microsoft.com/office/drawing/2014/main" id="{590E6658-645D-4895-B0C4-C7CD6555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155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88900</xdr:colOff>
      <xdr:row>82</xdr:row>
      <xdr:rowOff>50800</xdr:rowOff>
    </xdr:to>
    <xdr:pic>
      <xdr:nvPicPr>
        <xdr:cNvPr id="364" name="圖片 363" descr="https://www.slickcharts.com/img/up.gif">
          <a:extLst>
            <a:ext uri="{FF2B5EF4-FFF2-40B4-BE49-F238E27FC236}">
              <a16:creationId xmlns:a16="http://schemas.microsoft.com/office/drawing/2014/main" id="{BC6B3D55-0831-4D1E-8D2C-47CC6F525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371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88900</xdr:colOff>
      <xdr:row>372</xdr:row>
      <xdr:rowOff>50800</xdr:rowOff>
    </xdr:to>
    <xdr:pic>
      <xdr:nvPicPr>
        <xdr:cNvPr id="365" name="圖片 364" descr="https://www.slickcharts.com/img/up.gif">
          <a:extLst>
            <a:ext uri="{FF2B5EF4-FFF2-40B4-BE49-F238E27FC236}">
              <a16:creationId xmlns:a16="http://schemas.microsoft.com/office/drawing/2014/main" id="{B141AF42-8A0E-47B9-BDD9-DF0849743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587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88900</xdr:colOff>
      <xdr:row>373</xdr:row>
      <xdr:rowOff>50800</xdr:rowOff>
    </xdr:to>
    <xdr:pic>
      <xdr:nvPicPr>
        <xdr:cNvPr id="366" name="圖片 365" descr="https://www.slickcharts.com/img/up.gif">
          <a:extLst>
            <a:ext uri="{FF2B5EF4-FFF2-40B4-BE49-F238E27FC236}">
              <a16:creationId xmlns:a16="http://schemas.microsoft.com/office/drawing/2014/main" id="{2394250E-0871-4270-934B-828C78834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80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88900</xdr:colOff>
      <xdr:row>374</xdr:row>
      <xdr:rowOff>50800</xdr:rowOff>
    </xdr:to>
    <xdr:pic>
      <xdr:nvPicPr>
        <xdr:cNvPr id="367" name="圖片 366" descr="https://www.slickcharts.com/img/up.gif">
          <a:extLst>
            <a:ext uri="{FF2B5EF4-FFF2-40B4-BE49-F238E27FC236}">
              <a16:creationId xmlns:a16="http://schemas.microsoft.com/office/drawing/2014/main" id="{5F520850-96CE-4238-AF2E-7C271686F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019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88900</xdr:colOff>
      <xdr:row>375</xdr:row>
      <xdr:rowOff>50800</xdr:rowOff>
    </xdr:to>
    <xdr:pic>
      <xdr:nvPicPr>
        <xdr:cNvPr id="368" name="圖片 367" descr="https://www.slickcharts.com/img/up.gif">
          <a:extLst>
            <a:ext uri="{FF2B5EF4-FFF2-40B4-BE49-F238E27FC236}">
              <a16:creationId xmlns:a16="http://schemas.microsoft.com/office/drawing/2014/main" id="{34C399A8-24F1-4B21-8F06-37864ABC4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235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88900</xdr:colOff>
      <xdr:row>376</xdr:row>
      <xdr:rowOff>50800</xdr:rowOff>
    </xdr:to>
    <xdr:pic>
      <xdr:nvPicPr>
        <xdr:cNvPr id="369" name="圖片 368" descr="https://www.slickcharts.com/img/up.gif">
          <a:extLst>
            <a:ext uri="{FF2B5EF4-FFF2-40B4-BE49-F238E27FC236}">
              <a16:creationId xmlns:a16="http://schemas.microsoft.com/office/drawing/2014/main" id="{172640F7-4D37-4713-B5CF-CAC92F6C5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451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88900</xdr:colOff>
      <xdr:row>377</xdr:row>
      <xdr:rowOff>50800</xdr:rowOff>
    </xdr:to>
    <xdr:pic>
      <xdr:nvPicPr>
        <xdr:cNvPr id="370" name="圖片 369" descr="https://www.slickcharts.com/img/up.gif">
          <a:extLst>
            <a:ext uri="{FF2B5EF4-FFF2-40B4-BE49-F238E27FC236}">
              <a16:creationId xmlns:a16="http://schemas.microsoft.com/office/drawing/2014/main" id="{07A5E2E2-2798-424D-A1A1-46BA6E10E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66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88900</xdr:colOff>
      <xdr:row>378</xdr:row>
      <xdr:rowOff>50800</xdr:rowOff>
    </xdr:to>
    <xdr:pic>
      <xdr:nvPicPr>
        <xdr:cNvPr id="371" name="圖片 370" descr="https://www.slickcharts.com/img/up.gif">
          <a:extLst>
            <a:ext uri="{FF2B5EF4-FFF2-40B4-BE49-F238E27FC236}">
              <a16:creationId xmlns:a16="http://schemas.microsoft.com/office/drawing/2014/main" id="{95562022-CE78-42E3-AFCA-089971C66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883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88900</xdr:colOff>
      <xdr:row>379</xdr:row>
      <xdr:rowOff>50800</xdr:rowOff>
    </xdr:to>
    <xdr:pic>
      <xdr:nvPicPr>
        <xdr:cNvPr id="372" name="圖片 371" descr="https://www.slickcharts.com/img/up.gif">
          <a:extLst>
            <a:ext uri="{FF2B5EF4-FFF2-40B4-BE49-F238E27FC236}">
              <a16:creationId xmlns:a16="http://schemas.microsoft.com/office/drawing/2014/main" id="{247320F2-0C82-4A6D-A8B0-21EF6D645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98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88900</xdr:colOff>
      <xdr:row>380</xdr:row>
      <xdr:rowOff>50800</xdr:rowOff>
    </xdr:to>
    <xdr:pic>
      <xdr:nvPicPr>
        <xdr:cNvPr id="373" name="圖片 372" descr="https://www.slickcharts.com/img/up.gif">
          <a:extLst>
            <a:ext uri="{FF2B5EF4-FFF2-40B4-BE49-F238E27FC236}">
              <a16:creationId xmlns:a16="http://schemas.microsoft.com/office/drawing/2014/main" id="{A59139CF-31FF-472B-B660-7FECCADD3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314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88900</xdr:colOff>
      <xdr:row>381</xdr:row>
      <xdr:rowOff>50800</xdr:rowOff>
    </xdr:to>
    <xdr:pic>
      <xdr:nvPicPr>
        <xdr:cNvPr id="374" name="圖片 373" descr="https://www.slickcharts.com/img/up.gif">
          <a:extLst>
            <a:ext uri="{FF2B5EF4-FFF2-40B4-BE49-F238E27FC236}">
              <a16:creationId xmlns:a16="http://schemas.microsoft.com/office/drawing/2014/main" id="{0FE42702-2555-41AF-BC14-72B635AAC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53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88900</xdr:colOff>
      <xdr:row>382</xdr:row>
      <xdr:rowOff>50800</xdr:rowOff>
    </xdr:to>
    <xdr:pic>
      <xdr:nvPicPr>
        <xdr:cNvPr id="375" name="圖片 374" descr="https://www.slickcharts.com/img/up.gif">
          <a:extLst>
            <a:ext uri="{FF2B5EF4-FFF2-40B4-BE49-F238E27FC236}">
              <a16:creationId xmlns:a16="http://schemas.microsoft.com/office/drawing/2014/main" id="{B96516AA-15D8-46C3-8CED-7B7DF95D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746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88900</xdr:colOff>
      <xdr:row>383</xdr:row>
      <xdr:rowOff>50800</xdr:rowOff>
    </xdr:to>
    <xdr:pic>
      <xdr:nvPicPr>
        <xdr:cNvPr id="376" name="圖片 375" descr="https://www.slickcharts.com/img/up.gif">
          <a:extLst>
            <a:ext uri="{FF2B5EF4-FFF2-40B4-BE49-F238E27FC236}">
              <a16:creationId xmlns:a16="http://schemas.microsoft.com/office/drawing/2014/main" id="{FCF6DCF3-6D39-44F7-A873-E63504A9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962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88900</xdr:colOff>
      <xdr:row>384</xdr:row>
      <xdr:rowOff>50800</xdr:rowOff>
    </xdr:to>
    <xdr:pic>
      <xdr:nvPicPr>
        <xdr:cNvPr id="377" name="圖片 376" descr="https://www.slickcharts.com/img/up.gif">
          <a:extLst>
            <a:ext uri="{FF2B5EF4-FFF2-40B4-BE49-F238E27FC236}">
              <a16:creationId xmlns:a16="http://schemas.microsoft.com/office/drawing/2014/main" id="{5B5EF133-BE6A-4096-B464-81145E99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178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88900</xdr:colOff>
      <xdr:row>385</xdr:row>
      <xdr:rowOff>50800</xdr:rowOff>
    </xdr:to>
    <xdr:pic>
      <xdr:nvPicPr>
        <xdr:cNvPr id="378" name="圖片 377" descr="https://www.slickcharts.com/img/up.gif">
          <a:extLst>
            <a:ext uri="{FF2B5EF4-FFF2-40B4-BE49-F238E27FC236}">
              <a16:creationId xmlns:a16="http://schemas.microsoft.com/office/drawing/2014/main" id="{7D6E6D07-BDFE-4BE9-9676-FEB9C519F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39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88900</xdr:colOff>
      <xdr:row>386</xdr:row>
      <xdr:rowOff>50800</xdr:rowOff>
    </xdr:to>
    <xdr:pic>
      <xdr:nvPicPr>
        <xdr:cNvPr id="379" name="圖片 378" descr="https://www.slickcharts.com/img/up.gif">
          <a:extLst>
            <a:ext uri="{FF2B5EF4-FFF2-40B4-BE49-F238E27FC236}">
              <a16:creationId xmlns:a16="http://schemas.microsoft.com/office/drawing/2014/main" id="{FD491A3E-7055-49A2-8C17-BDE796894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610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88900</xdr:colOff>
      <xdr:row>387</xdr:row>
      <xdr:rowOff>50800</xdr:rowOff>
    </xdr:to>
    <xdr:pic>
      <xdr:nvPicPr>
        <xdr:cNvPr id="380" name="圖片 379" descr="https://www.slickcharts.com/img/up.gif">
          <a:extLst>
            <a:ext uri="{FF2B5EF4-FFF2-40B4-BE49-F238E27FC236}">
              <a16:creationId xmlns:a16="http://schemas.microsoft.com/office/drawing/2014/main" id="{A91434EE-10C7-4C51-A5C4-52E02A8DE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826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88900</xdr:colOff>
      <xdr:row>388</xdr:row>
      <xdr:rowOff>50800</xdr:rowOff>
    </xdr:to>
    <xdr:pic>
      <xdr:nvPicPr>
        <xdr:cNvPr id="381" name="圖片 380" descr="https://www.slickcharts.com/img/up.gif">
          <a:extLst>
            <a:ext uri="{FF2B5EF4-FFF2-40B4-BE49-F238E27FC236}">
              <a16:creationId xmlns:a16="http://schemas.microsoft.com/office/drawing/2014/main" id="{768EBF2F-E2C2-4ABB-A337-C649B9612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042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88900</xdr:colOff>
      <xdr:row>59</xdr:row>
      <xdr:rowOff>50800</xdr:rowOff>
    </xdr:to>
    <xdr:pic>
      <xdr:nvPicPr>
        <xdr:cNvPr id="382" name="圖片 381" descr="https://www.slickcharts.com/img/up.gif">
          <a:extLst>
            <a:ext uri="{FF2B5EF4-FFF2-40B4-BE49-F238E27FC236}">
              <a16:creationId xmlns:a16="http://schemas.microsoft.com/office/drawing/2014/main" id="{4E47B5FB-D658-4749-9360-156C48B6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25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88900</xdr:colOff>
      <xdr:row>389</xdr:row>
      <xdr:rowOff>50800</xdr:rowOff>
    </xdr:to>
    <xdr:pic>
      <xdr:nvPicPr>
        <xdr:cNvPr id="383" name="圖片 382" descr="https://www.slickcharts.com/img/up.gif">
          <a:extLst>
            <a:ext uri="{FF2B5EF4-FFF2-40B4-BE49-F238E27FC236}">
              <a16:creationId xmlns:a16="http://schemas.microsoft.com/office/drawing/2014/main" id="{C3764161-2BC5-47EF-99AF-911925DD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473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88900</xdr:colOff>
      <xdr:row>390</xdr:row>
      <xdr:rowOff>50800</xdr:rowOff>
    </xdr:to>
    <xdr:pic>
      <xdr:nvPicPr>
        <xdr:cNvPr id="384" name="圖片 383" descr="https://www.slickcharts.com/img/up.gif">
          <a:extLst>
            <a:ext uri="{FF2B5EF4-FFF2-40B4-BE49-F238E27FC236}">
              <a16:creationId xmlns:a16="http://schemas.microsoft.com/office/drawing/2014/main" id="{5FA14D6B-E71E-44BA-B03D-B6DA9A19E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689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88900</xdr:colOff>
      <xdr:row>391</xdr:row>
      <xdr:rowOff>50800</xdr:rowOff>
    </xdr:to>
    <xdr:pic>
      <xdr:nvPicPr>
        <xdr:cNvPr id="385" name="圖片 384" descr="https://www.slickcharts.com/img/up.gif">
          <a:extLst>
            <a:ext uri="{FF2B5EF4-FFF2-40B4-BE49-F238E27FC236}">
              <a16:creationId xmlns:a16="http://schemas.microsoft.com/office/drawing/2014/main" id="{FEA38E44-48CD-486F-BF0A-AA6CE326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905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88900</xdr:colOff>
      <xdr:row>392</xdr:row>
      <xdr:rowOff>50800</xdr:rowOff>
    </xdr:to>
    <xdr:pic>
      <xdr:nvPicPr>
        <xdr:cNvPr id="386" name="圖片 385" descr="https://www.slickcharts.com/img/up.gif">
          <a:extLst>
            <a:ext uri="{FF2B5EF4-FFF2-40B4-BE49-F238E27FC236}">
              <a16:creationId xmlns:a16="http://schemas.microsoft.com/office/drawing/2014/main" id="{8954E7BF-6BB9-4AED-8D93-BD8B0BB73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12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88900</xdr:colOff>
      <xdr:row>393</xdr:row>
      <xdr:rowOff>50800</xdr:rowOff>
    </xdr:to>
    <xdr:pic>
      <xdr:nvPicPr>
        <xdr:cNvPr id="387" name="圖片 386" descr="https://www.slickcharts.com/img/up.gif">
          <a:extLst>
            <a:ext uri="{FF2B5EF4-FFF2-40B4-BE49-F238E27FC236}">
              <a16:creationId xmlns:a16="http://schemas.microsoft.com/office/drawing/2014/main" id="{03227CDD-8DC4-45F0-86AE-7111A16A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337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88900</xdr:colOff>
      <xdr:row>394</xdr:row>
      <xdr:rowOff>50800</xdr:rowOff>
    </xdr:to>
    <xdr:pic>
      <xdr:nvPicPr>
        <xdr:cNvPr id="388" name="圖片 387" descr="https://www.slickcharts.com/img/up.gif">
          <a:extLst>
            <a:ext uri="{FF2B5EF4-FFF2-40B4-BE49-F238E27FC236}">
              <a16:creationId xmlns:a16="http://schemas.microsoft.com/office/drawing/2014/main" id="{9EA89A32-64AD-435A-B604-2D18F6270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553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88900</xdr:colOff>
      <xdr:row>395</xdr:row>
      <xdr:rowOff>50800</xdr:rowOff>
    </xdr:to>
    <xdr:pic>
      <xdr:nvPicPr>
        <xdr:cNvPr id="389" name="圖片 388" descr="https://www.slickcharts.com/img/up.gif">
          <a:extLst>
            <a:ext uri="{FF2B5EF4-FFF2-40B4-BE49-F238E27FC236}">
              <a16:creationId xmlns:a16="http://schemas.microsoft.com/office/drawing/2014/main" id="{BE215C6D-C121-4CE4-B0F5-6832A3E0F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769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88900</xdr:colOff>
      <xdr:row>396</xdr:row>
      <xdr:rowOff>50800</xdr:rowOff>
    </xdr:to>
    <xdr:pic>
      <xdr:nvPicPr>
        <xdr:cNvPr id="390" name="圖片 389" descr="https://www.slickcharts.com/img/up.gif">
          <a:extLst>
            <a:ext uri="{FF2B5EF4-FFF2-40B4-BE49-F238E27FC236}">
              <a16:creationId xmlns:a16="http://schemas.microsoft.com/office/drawing/2014/main" id="{EC861B64-9D8A-4C20-B086-5C1E59DD5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98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88900</xdr:colOff>
      <xdr:row>397</xdr:row>
      <xdr:rowOff>50800</xdr:rowOff>
    </xdr:to>
    <xdr:pic>
      <xdr:nvPicPr>
        <xdr:cNvPr id="391" name="圖片 390" descr="https://www.slickcharts.com/img/up.gif">
          <a:extLst>
            <a:ext uri="{FF2B5EF4-FFF2-40B4-BE49-F238E27FC236}">
              <a16:creationId xmlns:a16="http://schemas.microsoft.com/office/drawing/2014/main" id="{D9883662-FC5B-48BF-BF08-CB709A12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201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88900</xdr:colOff>
      <xdr:row>398</xdr:row>
      <xdr:rowOff>50800</xdr:rowOff>
    </xdr:to>
    <xdr:pic>
      <xdr:nvPicPr>
        <xdr:cNvPr id="392" name="圖片 391" descr="https://www.slickcharts.com/img/up.gif">
          <a:extLst>
            <a:ext uri="{FF2B5EF4-FFF2-40B4-BE49-F238E27FC236}">
              <a16:creationId xmlns:a16="http://schemas.microsoft.com/office/drawing/2014/main" id="{EE865A51-BF78-41D5-A2AD-2ED41F680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416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88900</xdr:colOff>
      <xdr:row>399</xdr:row>
      <xdr:rowOff>50800</xdr:rowOff>
    </xdr:to>
    <xdr:pic>
      <xdr:nvPicPr>
        <xdr:cNvPr id="393" name="圖片 392" descr="https://www.slickcharts.com/img/up.gif">
          <a:extLst>
            <a:ext uri="{FF2B5EF4-FFF2-40B4-BE49-F238E27FC236}">
              <a16:creationId xmlns:a16="http://schemas.microsoft.com/office/drawing/2014/main" id="{37EDF94D-E29C-4C0A-B3F1-1871F885D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632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88900</xdr:colOff>
      <xdr:row>400</xdr:row>
      <xdr:rowOff>50800</xdr:rowOff>
    </xdr:to>
    <xdr:pic>
      <xdr:nvPicPr>
        <xdr:cNvPr id="394" name="圖片 393" descr="https://www.slickcharts.com/img/up.gif">
          <a:extLst>
            <a:ext uri="{FF2B5EF4-FFF2-40B4-BE49-F238E27FC236}">
              <a16:creationId xmlns:a16="http://schemas.microsoft.com/office/drawing/2014/main" id="{5E578E71-2027-4BE0-9250-7AD62470E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84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88900</xdr:colOff>
      <xdr:row>401</xdr:row>
      <xdr:rowOff>50800</xdr:rowOff>
    </xdr:to>
    <xdr:pic>
      <xdr:nvPicPr>
        <xdr:cNvPr id="395" name="圖片 394" descr="https://www.slickcharts.com/img/up.gif">
          <a:extLst>
            <a:ext uri="{FF2B5EF4-FFF2-40B4-BE49-F238E27FC236}">
              <a16:creationId xmlns:a16="http://schemas.microsoft.com/office/drawing/2014/main" id="{683FACD5-3E97-4B9A-A3AE-8323003B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064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88900</xdr:colOff>
      <xdr:row>402</xdr:row>
      <xdr:rowOff>50800</xdr:rowOff>
    </xdr:to>
    <xdr:pic>
      <xdr:nvPicPr>
        <xdr:cNvPr id="396" name="圖片 395" descr="https://www.slickcharts.com/img/up.gif">
          <a:extLst>
            <a:ext uri="{FF2B5EF4-FFF2-40B4-BE49-F238E27FC236}">
              <a16:creationId xmlns:a16="http://schemas.microsoft.com/office/drawing/2014/main" id="{0A9517A9-6E15-44BE-95A0-DF934C9B3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280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88900</xdr:colOff>
      <xdr:row>403</xdr:row>
      <xdr:rowOff>50800</xdr:rowOff>
    </xdr:to>
    <xdr:pic>
      <xdr:nvPicPr>
        <xdr:cNvPr id="397" name="圖片 396" descr="https://www.slickcharts.com/img/up.gif">
          <a:extLst>
            <a:ext uri="{FF2B5EF4-FFF2-40B4-BE49-F238E27FC236}">
              <a16:creationId xmlns:a16="http://schemas.microsoft.com/office/drawing/2014/main" id="{80E579A4-F3DC-44DC-ACEC-4464A2A0C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496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88900</xdr:colOff>
      <xdr:row>404</xdr:row>
      <xdr:rowOff>50800</xdr:rowOff>
    </xdr:to>
    <xdr:pic>
      <xdr:nvPicPr>
        <xdr:cNvPr id="398" name="圖片 397" descr="https://www.slickcharts.com/img/up.gif">
          <a:extLst>
            <a:ext uri="{FF2B5EF4-FFF2-40B4-BE49-F238E27FC236}">
              <a16:creationId xmlns:a16="http://schemas.microsoft.com/office/drawing/2014/main" id="{FD51237C-82EE-42A0-986F-F22B6CBE0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71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88900</xdr:colOff>
      <xdr:row>405</xdr:row>
      <xdr:rowOff>50800</xdr:rowOff>
    </xdr:to>
    <xdr:pic>
      <xdr:nvPicPr>
        <xdr:cNvPr id="399" name="圖片 398" descr="https://www.slickcharts.com/img/up.gif">
          <a:extLst>
            <a:ext uri="{FF2B5EF4-FFF2-40B4-BE49-F238E27FC236}">
              <a16:creationId xmlns:a16="http://schemas.microsoft.com/office/drawing/2014/main" id="{AE1FBBDA-F05B-4F78-9779-677199CFC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928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88900</xdr:colOff>
      <xdr:row>406</xdr:row>
      <xdr:rowOff>50800</xdr:rowOff>
    </xdr:to>
    <xdr:pic>
      <xdr:nvPicPr>
        <xdr:cNvPr id="400" name="圖片 399" descr="https://www.slickcharts.com/img/up.gif">
          <a:extLst>
            <a:ext uri="{FF2B5EF4-FFF2-40B4-BE49-F238E27FC236}">
              <a16:creationId xmlns:a16="http://schemas.microsoft.com/office/drawing/2014/main" id="{EDCEACD9-3D29-4817-AFDF-6EB7293ED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144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88900</xdr:colOff>
      <xdr:row>407</xdr:row>
      <xdr:rowOff>50800</xdr:rowOff>
    </xdr:to>
    <xdr:pic>
      <xdr:nvPicPr>
        <xdr:cNvPr id="401" name="圖片 400" descr="https://www.slickcharts.com/img/up.gif">
          <a:extLst>
            <a:ext uri="{FF2B5EF4-FFF2-40B4-BE49-F238E27FC236}">
              <a16:creationId xmlns:a16="http://schemas.microsoft.com/office/drawing/2014/main" id="{4BFB980A-5206-4B7C-AEBC-133F54388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360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88900</xdr:colOff>
      <xdr:row>408</xdr:row>
      <xdr:rowOff>50800</xdr:rowOff>
    </xdr:to>
    <xdr:pic>
      <xdr:nvPicPr>
        <xdr:cNvPr id="402" name="圖片 401" descr="https://www.slickcharts.com/img/up.gif">
          <a:extLst>
            <a:ext uri="{FF2B5EF4-FFF2-40B4-BE49-F238E27FC236}">
              <a16:creationId xmlns:a16="http://schemas.microsoft.com/office/drawing/2014/main" id="{130CDB32-12EF-4C5B-815B-8F9842FF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57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88900</xdr:colOff>
      <xdr:row>409</xdr:row>
      <xdr:rowOff>50800</xdr:rowOff>
    </xdr:to>
    <xdr:pic>
      <xdr:nvPicPr>
        <xdr:cNvPr id="403" name="圖片 402" descr="https://www.slickcharts.com/img/up.gif">
          <a:extLst>
            <a:ext uri="{FF2B5EF4-FFF2-40B4-BE49-F238E27FC236}">
              <a16:creationId xmlns:a16="http://schemas.microsoft.com/office/drawing/2014/main" id="{E7CA8BFE-A73C-4016-82EB-34E85472A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791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88900</xdr:colOff>
      <xdr:row>410</xdr:row>
      <xdr:rowOff>50800</xdr:rowOff>
    </xdr:to>
    <xdr:pic>
      <xdr:nvPicPr>
        <xdr:cNvPr id="404" name="圖片 403" descr="https://www.slickcharts.com/img/up.gif">
          <a:extLst>
            <a:ext uri="{FF2B5EF4-FFF2-40B4-BE49-F238E27FC236}">
              <a16:creationId xmlns:a16="http://schemas.microsoft.com/office/drawing/2014/main" id="{9CA2D55B-3568-4A30-827F-CAF8F3139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007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88900</xdr:colOff>
      <xdr:row>411</xdr:row>
      <xdr:rowOff>50800</xdr:rowOff>
    </xdr:to>
    <xdr:pic>
      <xdr:nvPicPr>
        <xdr:cNvPr id="405" name="圖片 404" descr="https://www.slickcharts.com/img/up.gif">
          <a:extLst>
            <a:ext uri="{FF2B5EF4-FFF2-40B4-BE49-F238E27FC236}">
              <a16:creationId xmlns:a16="http://schemas.microsoft.com/office/drawing/2014/main" id="{F61F8060-EC0C-4C54-B039-518891882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223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88900</xdr:colOff>
      <xdr:row>412</xdr:row>
      <xdr:rowOff>50800</xdr:rowOff>
    </xdr:to>
    <xdr:pic>
      <xdr:nvPicPr>
        <xdr:cNvPr id="406" name="圖片 405" descr="https://www.slickcharts.com/img/up.gif">
          <a:extLst>
            <a:ext uri="{FF2B5EF4-FFF2-40B4-BE49-F238E27FC236}">
              <a16:creationId xmlns:a16="http://schemas.microsoft.com/office/drawing/2014/main" id="{095E1964-2841-46EF-AEB1-F6C85D10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439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88900</xdr:colOff>
      <xdr:row>413</xdr:row>
      <xdr:rowOff>50800</xdr:rowOff>
    </xdr:to>
    <xdr:pic>
      <xdr:nvPicPr>
        <xdr:cNvPr id="407" name="圖片 406" descr="https://www.slickcharts.com/img/up.gif">
          <a:extLst>
            <a:ext uri="{FF2B5EF4-FFF2-40B4-BE49-F238E27FC236}">
              <a16:creationId xmlns:a16="http://schemas.microsoft.com/office/drawing/2014/main" id="{B98553D5-58AD-4D65-8DEA-652DB8419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655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88900</xdr:colOff>
      <xdr:row>414</xdr:row>
      <xdr:rowOff>50800</xdr:rowOff>
    </xdr:to>
    <xdr:pic>
      <xdr:nvPicPr>
        <xdr:cNvPr id="408" name="圖片 407" descr="https://www.slickcharts.com/img/up.gif">
          <a:extLst>
            <a:ext uri="{FF2B5EF4-FFF2-40B4-BE49-F238E27FC236}">
              <a16:creationId xmlns:a16="http://schemas.microsoft.com/office/drawing/2014/main" id="{A4DAAF59-368F-4678-8BEE-15060EC29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871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88900</xdr:colOff>
      <xdr:row>415</xdr:row>
      <xdr:rowOff>50800</xdr:rowOff>
    </xdr:to>
    <xdr:pic>
      <xdr:nvPicPr>
        <xdr:cNvPr id="409" name="圖片 408" descr="https://www.slickcharts.com/img/up.gif">
          <a:extLst>
            <a:ext uri="{FF2B5EF4-FFF2-40B4-BE49-F238E27FC236}">
              <a16:creationId xmlns:a16="http://schemas.microsoft.com/office/drawing/2014/main" id="{8879958B-C89A-4453-92AB-084D31143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087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88900</xdr:colOff>
      <xdr:row>416</xdr:row>
      <xdr:rowOff>50800</xdr:rowOff>
    </xdr:to>
    <xdr:pic>
      <xdr:nvPicPr>
        <xdr:cNvPr id="410" name="圖片 409" descr="https://www.slickcharts.com/img/up.gif">
          <a:extLst>
            <a:ext uri="{FF2B5EF4-FFF2-40B4-BE49-F238E27FC236}">
              <a16:creationId xmlns:a16="http://schemas.microsoft.com/office/drawing/2014/main" id="{21D8953E-B9DC-4D68-8110-2CB2CEEA0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303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88900</xdr:colOff>
      <xdr:row>417</xdr:row>
      <xdr:rowOff>50800</xdr:rowOff>
    </xdr:to>
    <xdr:pic>
      <xdr:nvPicPr>
        <xdr:cNvPr id="411" name="圖片 410" descr="https://www.slickcharts.com/img/up.gif">
          <a:extLst>
            <a:ext uri="{FF2B5EF4-FFF2-40B4-BE49-F238E27FC236}">
              <a16:creationId xmlns:a16="http://schemas.microsoft.com/office/drawing/2014/main" id="{E1812847-76E0-4482-B0CB-60F0114C8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519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88900</xdr:colOff>
      <xdr:row>418</xdr:row>
      <xdr:rowOff>50800</xdr:rowOff>
    </xdr:to>
    <xdr:pic>
      <xdr:nvPicPr>
        <xdr:cNvPr id="412" name="圖片 411" descr="https://www.slickcharts.com/img/up.gif">
          <a:extLst>
            <a:ext uri="{FF2B5EF4-FFF2-40B4-BE49-F238E27FC236}">
              <a16:creationId xmlns:a16="http://schemas.microsoft.com/office/drawing/2014/main" id="{F65E7351-504C-4183-B10D-867F9E12E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734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88900</xdr:colOff>
      <xdr:row>419</xdr:row>
      <xdr:rowOff>50800</xdr:rowOff>
    </xdr:to>
    <xdr:pic>
      <xdr:nvPicPr>
        <xdr:cNvPr id="413" name="圖片 412" descr="https://www.slickcharts.com/img/up.gif">
          <a:extLst>
            <a:ext uri="{FF2B5EF4-FFF2-40B4-BE49-F238E27FC236}">
              <a16:creationId xmlns:a16="http://schemas.microsoft.com/office/drawing/2014/main" id="{D5E0EB7D-07AF-4E13-A6ED-9E31C1A53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950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88900</xdr:colOff>
      <xdr:row>420</xdr:row>
      <xdr:rowOff>50800</xdr:rowOff>
    </xdr:to>
    <xdr:pic>
      <xdr:nvPicPr>
        <xdr:cNvPr id="414" name="圖片 413" descr="https://www.slickcharts.com/img/up.gif">
          <a:extLst>
            <a:ext uri="{FF2B5EF4-FFF2-40B4-BE49-F238E27FC236}">
              <a16:creationId xmlns:a16="http://schemas.microsoft.com/office/drawing/2014/main" id="{C2D8AC5D-7E67-4B9F-8C19-996ABE2CC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166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88900</xdr:colOff>
      <xdr:row>421</xdr:row>
      <xdr:rowOff>50800</xdr:rowOff>
    </xdr:to>
    <xdr:pic>
      <xdr:nvPicPr>
        <xdr:cNvPr id="415" name="圖片 414" descr="https://www.slickcharts.com/img/up.gif">
          <a:extLst>
            <a:ext uri="{FF2B5EF4-FFF2-40B4-BE49-F238E27FC236}">
              <a16:creationId xmlns:a16="http://schemas.microsoft.com/office/drawing/2014/main" id="{DD7A174C-900D-438F-A598-5F5ADCB59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382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88900</xdr:colOff>
      <xdr:row>422</xdr:row>
      <xdr:rowOff>50800</xdr:rowOff>
    </xdr:to>
    <xdr:pic>
      <xdr:nvPicPr>
        <xdr:cNvPr id="416" name="圖片 415" descr="https://www.slickcharts.com/img/up.gif">
          <a:extLst>
            <a:ext uri="{FF2B5EF4-FFF2-40B4-BE49-F238E27FC236}">
              <a16:creationId xmlns:a16="http://schemas.microsoft.com/office/drawing/2014/main" id="{3AECCC80-75B1-43FA-A2C4-51D68DD5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598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88900</xdr:colOff>
      <xdr:row>423</xdr:row>
      <xdr:rowOff>50800</xdr:rowOff>
    </xdr:to>
    <xdr:pic>
      <xdr:nvPicPr>
        <xdr:cNvPr id="417" name="圖片 416" descr="https://www.slickcharts.com/img/up.gif">
          <a:extLst>
            <a:ext uri="{FF2B5EF4-FFF2-40B4-BE49-F238E27FC236}">
              <a16:creationId xmlns:a16="http://schemas.microsoft.com/office/drawing/2014/main" id="{77058C3B-A246-4006-8220-E2E80CE9E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814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88900</xdr:colOff>
      <xdr:row>424</xdr:row>
      <xdr:rowOff>50800</xdr:rowOff>
    </xdr:to>
    <xdr:pic>
      <xdr:nvPicPr>
        <xdr:cNvPr id="418" name="圖片 417" descr="https://www.slickcharts.com/img/up.gif">
          <a:extLst>
            <a:ext uri="{FF2B5EF4-FFF2-40B4-BE49-F238E27FC236}">
              <a16:creationId xmlns:a16="http://schemas.microsoft.com/office/drawing/2014/main" id="{6A6266C4-B0BE-4E43-B25A-D0B9529AD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030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88900</xdr:colOff>
      <xdr:row>425</xdr:row>
      <xdr:rowOff>50800</xdr:rowOff>
    </xdr:to>
    <xdr:pic>
      <xdr:nvPicPr>
        <xdr:cNvPr id="419" name="圖片 418" descr="https://www.slickcharts.com/img/up.gif">
          <a:extLst>
            <a:ext uri="{FF2B5EF4-FFF2-40B4-BE49-F238E27FC236}">
              <a16:creationId xmlns:a16="http://schemas.microsoft.com/office/drawing/2014/main" id="{2934C652-B64F-459F-8AC2-06099AB4C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246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88900</xdr:colOff>
      <xdr:row>426</xdr:row>
      <xdr:rowOff>50800</xdr:rowOff>
    </xdr:to>
    <xdr:pic>
      <xdr:nvPicPr>
        <xdr:cNvPr id="420" name="圖片 419" descr="https://www.slickcharts.com/img/up.gif">
          <a:extLst>
            <a:ext uri="{FF2B5EF4-FFF2-40B4-BE49-F238E27FC236}">
              <a16:creationId xmlns:a16="http://schemas.microsoft.com/office/drawing/2014/main" id="{D481F401-29D9-42B0-8CFB-204184315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462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88900</xdr:colOff>
      <xdr:row>427</xdr:row>
      <xdr:rowOff>50800</xdr:rowOff>
    </xdr:to>
    <xdr:pic>
      <xdr:nvPicPr>
        <xdr:cNvPr id="421" name="圖片 420" descr="https://www.slickcharts.com/img/up.gif">
          <a:extLst>
            <a:ext uri="{FF2B5EF4-FFF2-40B4-BE49-F238E27FC236}">
              <a16:creationId xmlns:a16="http://schemas.microsoft.com/office/drawing/2014/main" id="{58D8DF1A-3D56-4485-8214-8E0205BB0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678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88900</xdr:colOff>
      <xdr:row>428</xdr:row>
      <xdr:rowOff>50800</xdr:rowOff>
    </xdr:to>
    <xdr:pic>
      <xdr:nvPicPr>
        <xdr:cNvPr id="422" name="圖片 421" descr="https://www.slickcharts.com/img/up.gif">
          <a:extLst>
            <a:ext uri="{FF2B5EF4-FFF2-40B4-BE49-F238E27FC236}">
              <a16:creationId xmlns:a16="http://schemas.microsoft.com/office/drawing/2014/main" id="{907726AC-5322-4DDE-BD84-706134A8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893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88900</xdr:colOff>
      <xdr:row>19</xdr:row>
      <xdr:rowOff>50800</xdr:rowOff>
    </xdr:to>
    <xdr:pic>
      <xdr:nvPicPr>
        <xdr:cNvPr id="423" name="圖片 422" descr="https://www.slickcharts.com/img/up.gif">
          <a:extLst>
            <a:ext uri="{FF2B5EF4-FFF2-40B4-BE49-F238E27FC236}">
              <a16:creationId xmlns:a16="http://schemas.microsoft.com/office/drawing/2014/main" id="{F195704B-1239-40C3-979F-BEAFA9112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109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88900</xdr:colOff>
      <xdr:row>429</xdr:row>
      <xdr:rowOff>50800</xdr:rowOff>
    </xdr:to>
    <xdr:pic>
      <xdr:nvPicPr>
        <xdr:cNvPr id="424" name="圖片 423" descr="https://www.slickcharts.com/img/up.gif">
          <a:extLst>
            <a:ext uri="{FF2B5EF4-FFF2-40B4-BE49-F238E27FC236}">
              <a16:creationId xmlns:a16="http://schemas.microsoft.com/office/drawing/2014/main" id="{18772A73-B678-4BF5-BE36-BA47DA0B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325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88900</xdr:colOff>
      <xdr:row>430</xdr:row>
      <xdr:rowOff>50800</xdr:rowOff>
    </xdr:to>
    <xdr:pic>
      <xdr:nvPicPr>
        <xdr:cNvPr id="425" name="圖片 424" descr="https://www.slickcharts.com/img/down.gif">
          <a:extLst>
            <a:ext uri="{FF2B5EF4-FFF2-40B4-BE49-F238E27FC236}">
              <a16:creationId xmlns:a16="http://schemas.microsoft.com/office/drawing/2014/main" id="{EB86D8F5-C7B0-437F-9CB3-5AFF2454C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541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88900</xdr:colOff>
      <xdr:row>431</xdr:row>
      <xdr:rowOff>50800</xdr:rowOff>
    </xdr:to>
    <xdr:pic>
      <xdr:nvPicPr>
        <xdr:cNvPr id="426" name="圖片 425" descr="https://www.slickcharts.com/img/up.gif">
          <a:extLst>
            <a:ext uri="{FF2B5EF4-FFF2-40B4-BE49-F238E27FC236}">
              <a16:creationId xmlns:a16="http://schemas.microsoft.com/office/drawing/2014/main" id="{A74EB93E-4101-47EF-8EB6-74218E192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757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88900</xdr:colOff>
      <xdr:row>432</xdr:row>
      <xdr:rowOff>50800</xdr:rowOff>
    </xdr:to>
    <xdr:pic>
      <xdr:nvPicPr>
        <xdr:cNvPr id="427" name="圖片 426" descr="https://www.slickcharts.com/img/up.gif">
          <a:extLst>
            <a:ext uri="{FF2B5EF4-FFF2-40B4-BE49-F238E27FC236}">
              <a16:creationId xmlns:a16="http://schemas.microsoft.com/office/drawing/2014/main" id="{990449F7-BFF0-441B-96D1-DC3C91E4B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973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88900</xdr:colOff>
      <xdr:row>433</xdr:row>
      <xdr:rowOff>50800</xdr:rowOff>
    </xdr:to>
    <xdr:pic>
      <xdr:nvPicPr>
        <xdr:cNvPr id="428" name="圖片 427" descr="https://www.slickcharts.com/img/up.gif">
          <a:extLst>
            <a:ext uri="{FF2B5EF4-FFF2-40B4-BE49-F238E27FC236}">
              <a16:creationId xmlns:a16="http://schemas.microsoft.com/office/drawing/2014/main" id="{A4532A5F-71BF-4EB8-8CF3-0BCFF3A3E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189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88900</xdr:colOff>
      <xdr:row>434</xdr:row>
      <xdr:rowOff>50800</xdr:rowOff>
    </xdr:to>
    <xdr:pic>
      <xdr:nvPicPr>
        <xdr:cNvPr id="429" name="圖片 428" descr="https://www.slickcharts.com/img/up.gif">
          <a:extLst>
            <a:ext uri="{FF2B5EF4-FFF2-40B4-BE49-F238E27FC236}">
              <a16:creationId xmlns:a16="http://schemas.microsoft.com/office/drawing/2014/main" id="{2714D9A5-2062-4EB2-9E16-B7017B04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405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88900</xdr:colOff>
      <xdr:row>435</xdr:row>
      <xdr:rowOff>50800</xdr:rowOff>
    </xdr:to>
    <xdr:pic>
      <xdr:nvPicPr>
        <xdr:cNvPr id="430" name="圖片 429" descr="https://www.slickcharts.com/img/up.gif">
          <a:extLst>
            <a:ext uri="{FF2B5EF4-FFF2-40B4-BE49-F238E27FC236}">
              <a16:creationId xmlns:a16="http://schemas.microsoft.com/office/drawing/2014/main" id="{DB360A6F-6486-4096-8F50-E50A39091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621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88900</xdr:colOff>
      <xdr:row>436</xdr:row>
      <xdr:rowOff>50800</xdr:rowOff>
    </xdr:to>
    <xdr:pic>
      <xdr:nvPicPr>
        <xdr:cNvPr id="431" name="圖片 430" descr="https://www.slickcharts.com/img/up.gif">
          <a:extLst>
            <a:ext uri="{FF2B5EF4-FFF2-40B4-BE49-F238E27FC236}">
              <a16:creationId xmlns:a16="http://schemas.microsoft.com/office/drawing/2014/main" id="{3822F37F-350C-4A84-A582-EA185C7C0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837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88900</xdr:colOff>
      <xdr:row>437</xdr:row>
      <xdr:rowOff>50800</xdr:rowOff>
    </xdr:to>
    <xdr:pic>
      <xdr:nvPicPr>
        <xdr:cNvPr id="432" name="圖片 431" descr="https://www.slickcharts.com/img/up.gif">
          <a:extLst>
            <a:ext uri="{FF2B5EF4-FFF2-40B4-BE49-F238E27FC236}">
              <a16:creationId xmlns:a16="http://schemas.microsoft.com/office/drawing/2014/main" id="{79D5A27F-E15C-4C9A-AD1F-F3351F1A5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052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438</xdr:row>
      <xdr:rowOff>0</xdr:rowOff>
    </xdr:from>
    <xdr:to>
      <xdr:col>0</xdr:col>
      <xdr:colOff>88900</xdr:colOff>
      <xdr:row>438</xdr:row>
      <xdr:rowOff>50800</xdr:rowOff>
    </xdr:to>
    <xdr:pic>
      <xdr:nvPicPr>
        <xdr:cNvPr id="433" name="圖片 432" descr="https://www.slickcharts.com/img/up.gif">
          <a:extLst>
            <a:ext uri="{FF2B5EF4-FFF2-40B4-BE49-F238E27FC236}">
              <a16:creationId xmlns:a16="http://schemas.microsoft.com/office/drawing/2014/main" id="{6D633BF8-843F-4FAE-895E-28936E7B7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268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88900</xdr:colOff>
      <xdr:row>439</xdr:row>
      <xdr:rowOff>50800</xdr:rowOff>
    </xdr:to>
    <xdr:pic>
      <xdr:nvPicPr>
        <xdr:cNvPr id="434" name="圖片 433" descr="https://www.slickcharts.com/img/up.gif">
          <a:extLst>
            <a:ext uri="{FF2B5EF4-FFF2-40B4-BE49-F238E27FC236}">
              <a16:creationId xmlns:a16="http://schemas.microsoft.com/office/drawing/2014/main" id="{ECCC21A6-FD1A-465E-A4EF-AC43522F0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484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88900</xdr:colOff>
      <xdr:row>440</xdr:row>
      <xdr:rowOff>50800</xdr:rowOff>
    </xdr:to>
    <xdr:pic>
      <xdr:nvPicPr>
        <xdr:cNvPr id="435" name="圖片 434" descr="https://www.slickcharts.com/img/up.gif">
          <a:extLst>
            <a:ext uri="{FF2B5EF4-FFF2-40B4-BE49-F238E27FC236}">
              <a16:creationId xmlns:a16="http://schemas.microsoft.com/office/drawing/2014/main" id="{64A445FE-9CBF-445C-852A-AADB18F2F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700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88900</xdr:colOff>
      <xdr:row>441</xdr:row>
      <xdr:rowOff>50800</xdr:rowOff>
    </xdr:to>
    <xdr:pic>
      <xdr:nvPicPr>
        <xdr:cNvPr id="436" name="圖片 435" descr="https://www.slickcharts.com/img/up.gif">
          <a:extLst>
            <a:ext uri="{FF2B5EF4-FFF2-40B4-BE49-F238E27FC236}">
              <a16:creationId xmlns:a16="http://schemas.microsoft.com/office/drawing/2014/main" id="{28AB0D2D-78B8-40CC-B887-05633D4A4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3916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88900</xdr:colOff>
      <xdr:row>442</xdr:row>
      <xdr:rowOff>50800</xdr:rowOff>
    </xdr:to>
    <xdr:pic>
      <xdr:nvPicPr>
        <xdr:cNvPr id="437" name="圖片 436" descr="https://www.slickcharts.com/img/up.gif">
          <a:extLst>
            <a:ext uri="{FF2B5EF4-FFF2-40B4-BE49-F238E27FC236}">
              <a16:creationId xmlns:a16="http://schemas.microsoft.com/office/drawing/2014/main" id="{0BBC9DB3-6AB5-497B-889D-980FC3F69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132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88900</xdr:colOff>
      <xdr:row>443</xdr:row>
      <xdr:rowOff>50800</xdr:rowOff>
    </xdr:to>
    <xdr:pic>
      <xdr:nvPicPr>
        <xdr:cNvPr id="438" name="圖片 437" descr="https://www.slickcharts.com/img/up.gif">
          <a:extLst>
            <a:ext uri="{FF2B5EF4-FFF2-40B4-BE49-F238E27FC236}">
              <a16:creationId xmlns:a16="http://schemas.microsoft.com/office/drawing/2014/main" id="{85BCACFD-F2A3-4CEE-825B-03DD245DC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348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88900</xdr:colOff>
      <xdr:row>444</xdr:row>
      <xdr:rowOff>50800</xdr:rowOff>
    </xdr:to>
    <xdr:pic>
      <xdr:nvPicPr>
        <xdr:cNvPr id="439" name="圖片 438" descr="https://www.slickcharts.com/img/up.gif">
          <a:extLst>
            <a:ext uri="{FF2B5EF4-FFF2-40B4-BE49-F238E27FC236}">
              <a16:creationId xmlns:a16="http://schemas.microsoft.com/office/drawing/2014/main" id="{BEB19448-F956-47ED-A81A-DE7D3344E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564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88900</xdr:colOff>
      <xdr:row>445</xdr:row>
      <xdr:rowOff>50800</xdr:rowOff>
    </xdr:to>
    <xdr:pic>
      <xdr:nvPicPr>
        <xdr:cNvPr id="440" name="圖片 439" descr="https://www.slickcharts.com/img/up.gif">
          <a:extLst>
            <a:ext uri="{FF2B5EF4-FFF2-40B4-BE49-F238E27FC236}">
              <a16:creationId xmlns:a16="http://schemas.microsoft.com/office/drawing/2014/main" id="{D251661C-00E7-4D18-BAAA-D74B45B42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780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88900</xdr:colOff>
      <xdr:row>446</xdr:row>
      <xdr:rowOff>50800</xdr:rowOff>
    </xdr:to>
    <xdr:pic>
      <xdr:nvPicPr>
        <xdr:cNvPr id="441" name="圖片 440" descr="https://www.slickcharts.com/img/down.gif">
          <a:extLst>
            <a:ext uri="{FF2B5EF4-FFF2-40B4-BE49-F238E27FC236}">
              <a16:creationId xmlns:a16="http://schemas.microsoft.com/office/drawing/2014/main" id="{2FD3864F-5507-46A6-9E99-684BF1C8E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996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88900</xdr:colOff>
      <xdr:row>447</xdr:row>
      <xdr:rowOff>50800</xdr:rowOff>
    </xdr:to>
    <xdr:pic>
      <xdr:nvPicPr>
        <xdr:cNvPr id="442" name="圖片 441" descr="https://www.slickcharts.com/img/up.gif">
          <a:extLst>
            <a:ext uri="{FF2B5EF4-FFF2-40B4-BE49-F238E27FC236}">
              <a16:creationId xmlns:a16="http://schemas.microsoft.com/office/drawing/2014/main" id="{17DF0600-9A85-4A31-BA68-8C6859D97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11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88900</xdr:colOff>
      <xdr:row>448</xdr:row>
      <xdr:rowOff>50800</xdr:rowOff>
    </xdr:to>
    <xdr:pic>
      <xdr:nvPicPr>
        <xdr:cNvPr id="443" name="圖片 442" descr="https://www.slickcharts.com/img/up.gif">
          <a:extLst>
            <a:ext uri="{FF2B5EF4-FFF2-40B4-BE49-F238E27FC236}">
              <a16:creationId xmlns:a16="http://schemas.microsoft.com/office/drawing/2014/main" id="{464E834D-0341-4B61-821B-676527020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427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88900</xdr:colOff>
      <xdr:row>449</xdr:row>
      <xdr:rowOff>50800</xdr:rowOff>
    </xdr:to>
    <xdr:pic>
      <xdr:nvPicPr>
        <xdr:cNvPr id="444" name="圖片 443" descr="https://www.slickcharts.com/img/up.gif">
          <a:extLst>
            <a:ext uri="{FF2B5EF4-FFF2-40B4-BE49-F238E27FC236}">
              <a16:creationId xmlns:a16="http://schemas.microsoft.com/office/drawing/2014/main" id="{074A8118-1BD4-43C0-B05C-E6BE05416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643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88900</xdr:colOff>
      <xdr:row>450</xdr:row>
      <xdr:rowOff>50800</xdr:rowOff>
    </xdr:to>
    <xdr:pic>
      <xdr:nvPicPr>
        <xdr:cNvPr id="445" name="圖片 444" descr="https://www.slickcharts.com/img/up.gif">
          <a:extLst>
            <a:ext uri="{FF2B5EF4-FFF2-40B4-BE49-F238E27FC236}">
              <a16:creationId xmlns:a16="http://schemas.microsoft.com/office/drawing/2014/main" id="{66A48795-62CC-4EBB-9B80-270CEA2A1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859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88900</xdr:colOff>
      <xdr:row>83</xdr:row>
      <xdr:rowOff>50800</xdr:rowOff>
    </xdr:to>
    <xdr:pic>
      <xdr:nvPicPr>
        <xdr:cNvPr id="446" name="圖片 445" descr="https://www.slickcharts.com/img/up.gif">
          <a:extLst>
            <a:ext uri="{FF2B5EF4-FFF2-40B4-BE49-F238E27FC236}">
              <a16:creationId xmlns:a16="http://schemas.microsoft.com/office/drawing/2014/main" id="{18769C7A-1D95-4CFD-9522-9D8BE440D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075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88900</xdr:colOff>
      <xdr:row>451</xdr:row>
      <xdr:rowOff>50800</xdr:rowOff>
    </xdr:to>
    <xdr:pic>
      <xdr:nvPicPr>
        <xdr:cNvPr id="447" name="圖片 446" descr="https://www.slickcharts.com/img/up.gif">
          <a:extLst>
            <a:ext uri="{FF2B5EF4-FFF2-40B4-BE49-F238E27FC236}">
              <a16:creationId xmlns:a16="http://schemas.microsoft.com/office/drawing/2014/main" id="{C60A7F94-89F9-4A40-8B8B-79626806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291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88900</xdr:colOff>
      <xdr:row>452</xdr:row>
      <xdr:rowOff>50800</xdr:rowOff>
    </xdr:to>
    <xdr:pic>
      <xdr:nvPicPr>
        <xdr:cNvPr id="448" name="圖片 447" descr="https://www.slickcharts.com/img/up.gif">
          <a:extLst>
            <a:ext uri="{FF2B5EF4-FFF2-40B4-BE49-F238E27FC236}">
              <a16:creationId xmlns:a16="http://schemas.microsoft.com/office/drawing/2014/main" id="{919EE6F3-817C-47DA-8C47-53B15BB07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507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88900</xdr:colOff>
      <xdr:row>453</xdr:row>
      <xdr:rowOff>50800</xdr:rowOff>
    </xdr:to>
    <xdr:pic>
      <xdr:nvPicPr>
        <xdr:cNvPr id="449" name="圖片 448" descr="https://www.slickcharts.com/img/up.gif">
          <a:extLst>
            <a:ext uri="{FF2B5EF4-FFF2-40B4-BE49-F238E27FC236}">
              <a16:creationId xmlns:a16="http://schemas.microsoft.com/office/drawing/2014/main" id="{744A627D-8A36-4A25-BE9A-93CFAB3A7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723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88900</xdr:colOff>
      <xdr:row>454</xdr:row>
      <xdr:rowOff>50800</xdr:rowOff>
    </xdr:to>
    <xdr:pic>
      <xdr:nvPicPr>
        <xdr:cNvPr id="450" name="圖片 449" descr="https://www.slickcharts.com/img/up.gif">
          <a:extLst>
            <a:ext uri="{FF2B5EF4-FFF2-40B4-BE49-F238E27FC236}">
              <a16:creationId xmlns:a16="http://schemas.microsoft.com/office/drawing/2014/main" id="{77C46B1D-1EFD-43C0-AF7D-9205F251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939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88900</xdr:colOff>
      <xdr:row>455</xdr:row>
      <xdr:rowOff>50800</xdr:rowOff>
    </xdr:to>
    <xdr:pic>
      <xdr:nvPicPr>
        <xdr:cNvPr id="451" name="圖片 450" descr="https://www.slickcharts.com/img/up.gif">
          <a:extLst>
            <a:ext uri="{FF2B5EF4-FFF2-40B4-BE49-F238E27FC236}">
              <a16:creationId xmlns:a16="http://schemas.microsoft.com/office/drawing/2014/main" id="{FBF327DA-202A-420D-828B-61411A023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155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88900</xdr:colOff>
      <xdr:row>456</xdr:row>
      <xdr:rowOff>50800</xdr:rowOff>
    </xdr:to>
    <xdr:pic>
      <xdr:nvPicPr>
        <xdr:cNvPr id="452" name="圖片 451" descr="https://www.slickcharts.com/img/up.gif">
          <a:extLst>
            <a:ext uri="{FF2B5EF4-FFF2-40B4-BE49-F238E27FC236}">
              <a16:creationId xmlns:a16="http://schemas.microsoft.com/office/drawing/2014/main" id="{CB7CC199-16DC-4006-94E2-24E98DB76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370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88900</xdr:colOff>
      <xdr:row>457</xdr:row>
      <xdr:rowOff>50800</xdr:rowOff>
    </xdr:to>
    <xdr:pic>
      <xdr:nvPicPr>
        <xdr:cNvPr id="453" name="圖片 452" descr="https://www.slickcharts.com/img/up.gif">
          <a:extLst>
            <a:ext uri="{FF2B5EF4-FFF2-40B4-BE49-F238E27FC236}">
              <a16:creationId xmlns:a16="http://schemas.microsoft.com/office/drawing/2014/main" id="{1187BA53-E464-4D95-878B-372D1746C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586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88900</xdr:colOff>
      <xdr:row>458</xdr:row>
      <xdr:rowOff>50800</xdr:rowOff>
    </xdr:to>
    <xdr:pic>
      <xdr:nvPicPr>
        <xdr:cNvPr id="454" name="圖片 453" descr="https://www.slickcharts.com/img/up.gif">
          <a:extLst>
            <a:ext uri="{FF2B5EF4-FFF2-40B4-BE49-F238E27FC236}">
              <a16:creationId xmlns:a16="http://schemas.microsoft.com/office/drawing/2014/main" id="{DE6FD12E-A52A-47CB-B107-2B81A96C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802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88900</xdr:colOff>
      <xdr:row>459</xdr:row>
      <xdr:rowOff>50800</xdr:rowOff>
    </xdr:to>
    <xdr:pic>
      <xdr:nvPicPr>
        <xdr:cNvPr id="455" name="圖片 454" descr="https://www.slickcharts.com/img/up.gif">
          <a:extLst>
            <a:ext uri="{FF2B5EF4-FFF2-40B4-BE49-F238E27FC236}">
              <a16:creationId xmlns:a16="http://schemas.microsoft.com/office/drawing/2014/main" id="{0F1751DD-8413-4F8D-9338-E57AABC6A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018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88900</xdr:colOff>
      <xdr:row>460</xdr:row>
      <xdr:rowOff>50800</xdr:rowOff>
    </xdr:to>
    <xdr:pic>
      <xdr:nvPicPr>
        <xdr:cNvPr id="456" name="圖片 455" descr="https://www.slickcharts.com/img/up.gif">
          <a:extLst>
            <a:ext uri="{FF2B5EF4-FFF2-40B4-BE49-F238E27FC236}">
              <a16:creationId xmlns:a16="http://schemas.microsoft.com/office/drawing/2014/main" id="{723630DB-C983-40B8-ACCB-7D6E06DA5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234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88900</xdr:colOff>
      <xdr:row>461</xdr:row>
      <xdr:rowOff>50800</xdr:rowOff>
    </xdr:to>
    <xdr:pic>
      <xdr:nvPicPr>
        <xdr:cNvPr id="457" name="圖片 456" descr="https://www.slickcharts.com/img/up.gif">
          <a:extLst>
            <a:ext uri="{FF2B5EF4-FFF2-40B4-BE49-F238E27FC236}">
              <a16:creationId xmlns:a16="http://schemas.microsoft.com/office/drawing/2014/main" id="{96A9D738-F81A-4DE4-A9C6-2C6C04E04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450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88900</xdr:colOff>
      <xdr:row>462</xdr:row>
      <xdr:rowOff>50800</xdr:rowOff>
    </xdr:to>
    <xdr:pic>
      <xdr:nvPicPr>
        <xdr:cNvPr id="458" name="圖片 457" descr="https://www.slickcharts.com/img/up.gif">
          <a:extLst>
            <a:ext uri="{FF2B5EF4-FFF2-40B4-BE49-F238E27FC236}">
              <a16:creationId xmlns:a16="http://schemas.microsoft.com/office/drawing/2014/main" id="{29A1126D-46C5-45A0-96A9-848875A2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666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88900</xdr:colOff>
      <xdr:row>463</xdr:row>
      <xdr:rowOff>50800</xdr:rowOff>
    </xdr:to>
    <xdr:pic>
      <xdr:nvPicPr>
        <xdr:cNvPr id="459" name="圖片 458" descr="https://www.slickcharts.com/img/up.gif">
          <a:extLst>
            <a:ext uri="{FF2B5EF4-FFF2-40B4-BE49-F238E27FC236}">
              <a16:creationId xmlns:a16="http://schemas.microsoft.com/office/drawing/2014/main" id="{306706C1-4493-494E-9674-30607893B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882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88900</xdr:colOff>
      <xdr:row>464</xdr:row>
      <xdr:rowOff>50800</xdr:rowOff>
    </xdr:to>
    <xdr:pic>
      <xdr:nvPicPr>
        <xdr:cNvPr id="460" name="圖片 459" descr="https://www.slickcharts.com/img/up.gif">
          <a:extLst>
            <a:ext uri="{FF2B5EF4-FFF2-40B4-BE49-F238E27FC236}">
              <a16:creationId xmlns:a16="http://schemas.microsoft.com/office/drawing/2014/main" id="{ED806B6F-3FFA-44C7-B218-284E51F6E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098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88900</xdr:colOff>
      <xdr:row>465</xdr:row>
      <xdr:rowOff>50800</xdr:rowOff>
    </xdr:to>
    <xdr:pic>
      <xdr:nvPicPr>
        <xdr:cNvPr id="461" name="圖片 460" descr="https://www.slickcharts.com/img/up.gif">
          <a:extLst>
            <a:ext uri="{FF2B5EF4-FFF2-40B4-BE49-F238E27FC236}">
              <a16:creationId xmlns:a16="http://schemas.microsoft.com/office/drawing/2014/main" id="{DB088B0B-35E5-4D5F-B0E6-57BC08CD3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314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88900</xdr:colOff>
      <xdr:row>466</xdr:row>
      <xdr:rowOff>50800</xdr:rowOff>
    </xdr:to>
    <xdr:pic>
      <xdr:nvPicPr>
        <xdr:cNvPr id="462" name="圖片 461" descr="https://www.slickcharts.com/img/up.gif">
          <a:extLst>
            <a:ext uri="{FF2B5EF4-FFF2-40B4-BE49-F238E27FC236}">
              <a16:creationId xmlns:a16="http://schemas.microsoft.com/office/drawing/2014/main" id="{8677E509-159C-413A-BC98-5EC909F44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529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88900</xdr:colOff>
      <xdr:row>467</xdr:row>
      <xdr:rowOff>50800</xdr:rowOff>
    </xdr:to>
    <xdr:pic>
      <xdr:nvPicPr>
        <xdr:cNvPr id="463" name="圖片 462" descr="https://www.slickcharts.com/img/up.gif">
          <a:extLst>
            <a:ext uri="{FF2B5EF4-FFF2-40B4-BE49-F238E27FC236}">
              <a16:creationId xmlns:a16="http://schemas.microsoft.com/office/drawing/2014/main" id="{1764855D-0B81-410D-8089-E8DDF422C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745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60</xdr:row>
      <xdr:rowOff>0</xdr:rowOff>
    </xdr:from>
    <xdr:to>
      <xdr:col>7</xdr:col>
      <xdr:colOff>88900</xdr:colOff>
      <xdr:row>60</xdr:row>
      <xdr:rowOff>50800</xdr:rowOff>
    </xdr:to>
    <xdr:pic>
      <xdr:nvPicPr>
        <xdr:cNvPr id="464" name="圖片 463" descr="https://www.slickcharts.com/img/up.gif">
          <a:extLst>
            <a:ext uri="{FF2B5EF4-FFF2-40B4-BE49-F238E27FC236}">
              <a16:creationId xmlns:a16="http://schemas.microsoft.com/office/drawing/2014/main" id="{AF75816C-C2CD-4A6A-83FE-5F0ED0F3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961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88900</xdr:colOff>
      <xdr:row>468</xdr:row>
      <xdr:rowOff>50800</xdr:rowOff>
    </xdr:to>
    <xdr:pic>
      <xdr:nvPicPr>
        <xdr:cNvPr id="465" name="圖片 464" descr="https://www.slickcharts.com/img/up.gif">
          <a:extLst>
            <a:ext uri="{FF2B5EF4-FFF2-40B4-BE49-F238E27FC236}">
              <a16:creationId xmlns:a16="http://schemas.microsoft.com/office/drawing/2014/main" id="{24077374-F103-4591-93C8-743D0150A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177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88900</xdr:colOff>
      <xdr:row>469</xdr:row>
      <xdr:rowOff>50800</xdr:rowOff>
    </xdr:to>
    <xdr:pic>
      <xdr:nvPicPr>
        <xdr:cNvPr id="466" name="圖片 465" descr="https://www.slickcharts.com/img/up.gif">
          <a:extLst>
            <a:ext uri="{FF2B5EF4-FFF2-40B4-BE49-F238E27FC236}">
              <a16:creationId xmlns:a16="http://schemas.microsoft.com/office/drawing/2014/main" id="{A2376F72-3716-42F6-8B9E-61BDC578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393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88900</xdr:colOff>
      <xdr:row>470</xdr:row>
      <xdr:rowOff>50800</xdr:rowOff>
    </xdr:to>
    <xdr:pic>
      <xdr:nvPicPr>
        <xdr:cNvPr id="467" name="圖片 466" descr="https://www.slickcharts.com/img/up.gif">
          <a:extLst>
            <a:ext uri="{FF2B5EF4-FFF2-40B4-BE49-F238E27FC236}">
              <a16:creationId xmlns:a16="http://schemas.microsoft.com/office/drawing/2014/main" id="{B707F419-9C2A-4095-8560-8D01ED73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609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88900</xdr:colOff>
      <xdr:row>471</xdr:row>
      <xdr:rowOff>50800</xdr:rowOff>
    </xdr:to>
    <xdr:pic>
      <xdr:nvPicPr>
        <xdr:cNvPr id="468" name="圖片 467" descr="https://www.slickcharts.com/img/up.gif">
          <a:extLst>
            <a:ext uri="{FF2B5EF4-FFF2-40B4-BE49-F238E27FC236}">
              <a16:creationId xmlns:a16="http://schemas.microsoft.com/office/drawing/2014/main" id="{1B405363-C5BF-4CCA-81B1-CB46C554B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825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88900</xdr:colOff>
      <xdr:row>472</xdr:row>
      <xdr:rowOff>50800</xdr:rowOff>
    </xdr:to>
    <xdr:pic>
      <xdr:nvPicPr>
        <xdr:cNvPr id="469" name="圖片 468" descr="https://www.slickcharts.com/img/up.gif">
          <a:extLst>
            <a:ext uri="{FF2B5EF4-FFF2-40B4-BE49-F238E27FC236}">
              <a16:creationId xmlns:a16="http://schemas.microsoft.com/office/drawing/2014/main" id="{6560C536-2F8A-4D0D-8242-08BEE4E5B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041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88900</xdr:colOff>
      <xdr:row>473</xdr:row>
      <xdr:rowOff>50800</xdr:rowOff>
    </xdr:to>
    <xdr:pic>
      <xdr:nvPicPr>
        <xdr:cNvPr id="470" name="圖片 469" descr="https://www.slickcharts.com/img/up.gif">
          <a:extLst>
            <a:ext uri="{FF2B5EF4-FFF2-40B4-BE49-F238E27FC236}">
              <a16:creationId xmlns:a16="http://schemas.microsoft.com/office/drawing/2014/main" id="{156000FF-D71C-48AF-BD2F-9C8A874EF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257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88900</xdr:colOff>
      <xdr:row>474</xdr:row>
      <xdr:rowOff>50800</xdr:rowOff>
    </xdr:to>
    <xdr:pic>
      <xdr:nvPicPr>
        <xdr:cNvPr id="471" name="圖片 470" descr="https://www.slickcharts.com/img/up.gif">
          <a:extLst>
            <a:ext uri="{FF2B5EF4-FFF2-40B4-BE49-F238E27FC236}">
              <a16:creationId xmlns:a16="http://schemas.microsoft.com/office/drawing/2014/main" id="{DEBFFD20-92F9-4C68-B467-14A3D765F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473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88900</xdr:colOff>
      <xdr:row>475</xdr:row>
      <xdr:rowOff>50800</xdr:rowOff>
    </xdr:to>
    <xdr:pic>
      <xdr:nvPicPr>
        <xdr:cNvPr id="472" name="圖片 471" descr="https://www.slickcharts.com/img/up.gif">
          <a:extLst>
            <a:ext uri="{FF2B5EF4-FFF2-40B4-BE49-F238E27FC236}">
              <a16:creationId xmlns:a16="http://schemas.microsoft.com/office/drawing/2014/main" id="{8350B586-E3C7-45A7-BDFF-B0EBCC1FC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688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88900</xdr:colOff>
      <xdr:row>476</xdr:row>
      <xdr:rowOff>50800</xdr:rowOff>
    </xdr:to>
    <xdr:pic>
      <xdr:nvPicPr>
        <xdr:cNvPr id="473" name="圖片 472" descr="https://www.slickcharts.com/img/up.gif">
          <a:extLst>
            <a:ext uri="{FF2B5EF4-FFF2-40B4-BE49-F238E27FC236}">
              <a16:creationId xmlns:a16="http://schemas.microsoft.com/office/drawing/2014/main" id="{4626E7A6-BAD0-4BFB-9FAB-A9B1AD76F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1904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88900</xdr:colOff>
      <xdr:row>61</xdr:row>
      <xdr:rowOff>50800</xdr:rowOff>
    </xdr:to>
    <xdr:pic>
      <xdr:nvPicPr>
        <xdr:cNvPr id="474" name="圖片 473" descr="https://www.slickcharts.com/img/up.gif">
          <a:extLst>
            <a:ext uri="{FF2B5EF4-FFF2-40B4-BE49-F238E27FC236}">
              <a16:creationId xmlns:a16="http://schemas.microsoft.com/office/drawing/2014/main" id="{2445199D-4BCA-48F4-BC4F-6E11272B0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120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88900</xdr:colOff>
      <xdr:row>477</xdr:row>
      <xdr:rowOff>50800</xdr:rowOff>
    </xdr:to>
    <xdr:pic>
      <xdr:nvPicPr>
        <xdr:cNvPr id="475" name="圖片 474" descr="https://www.slickcharts.com/img/up.gif">
          <a:extLst>
            <a:ext uri="{FF2B5EF4-FFF2-40B4-BE49-F238E27FC236}">
              <a16:creationId xmlns:a16="http://schemas.microsoft.com/office/drawing/2014/main" id="{D2679CE1-ED7B-4ABB-9B35-17F481A50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336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88900</xdr:colOff>
      <xdr:row>478</xdr:row>
      <xdr:rowOff>50800</xdr:rowOff>
    </xdr:to>
    <xdr:pic>
      <xdr:nvPicPr>
        <xdr:cNvPr id="476" name="圖片 475" descr="https://www.slickcharts.com/img/down.gif">
          <a:extLst>
            <a:ext uri="{FF2B5EF4-FFF2-40B4-BE49-F238E27FC236}">
              <a16:creationId xmlns:a16="http://schemas.microsoft.com/office/drawing/2014/main" id="{642ABB7F-FC01-4765-BA84-0A188DFDE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552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88900</xdr:colOff>
      <xdr:row>479</xdr:row>
      <xdr:rowOff>50800</xdr:rowOff>
    </xdr:to>
    <xdr:pic>
      <xdr:nvPicPr>
        <xdr:cNvPr id="477" name="圖片 476" descr="https://www.slickcharts.com/img/up.gif">
          <a:extLst>
            <a:ext uri="{FF2B5EF4-FFF2-40B4-BE49-F238E27FC236}">
              <a16:creationId xmlns:a16="http://schemas.microsoft.com/office/drawing/2014/main" id="{B26FBD44-5F18-42E2-92CF-4595251BF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768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88900</xdr:colOff>
      <xdr:row>480</xdr:row>
      <xdr:rowOff>50800</xdr:rowOff>
    </xdr:to>
    <xdr:pic>
      <xdr:nvPicPr>
        <xdr:cNvPr id="478" name="圖片 477" descr="https://www.slickcharts.com/img/up.gif">
          <a:extLst>
            <a:ext uri="{FF2B5EF4-FFF2-40B4-BE49-F238E27FC236}">
              <a16:creationId xmlns:a16="http://schemas.microsoft.com/office/drawing/2014/main" id="{DA35B3E3-29D9-4452-898C-0C7731327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984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88900</xdr:colOff>
      <xdr:row>20</xdr:row>
      <xdr:rowOff>50800</xdr:rowOff>
    </xdr:to>
    <xdr:pic>
      <xdr:nvPicPr>
        <xdr:cNvPr id="479" name="圖片 478" descr="https://www.slickcharts.com/img/up.gif">
          <a:extLst>
            <a:ext uri="{FF2B5EF4-FFF2-40B4-BE49-F238E27FC236}">
              <a16:creationId xmlns:a16="http://schemas.microsoft.com/office/drawing/2014/main" id="{BF710BC3-C3E6-47BF-BA9E-1B76DEFEE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200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88900</xdr:colOff>
      <xdr:row>481</xdr:row>
      <xdr:rowOff>50800</xdr:rowOff>
    </xdr:to>
    <xdr:pic>
      <xdr:nvPicPr>
        <xdr:cNvPr id="480" name="圖片 479" descr="https://www.slickcharts.com/img/up.gif">
          <a:extLst>
            <a:ext uri="{FF2B5EF4-FFF2-40B4-BE49-F238E27FC236}">
              <a16:creationId xmlns:a16="http://schemas.microsoft.com/office/drawing/2014/main" id="{789702FD-EF72-4DBF-AD87-DF781C7C6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416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88900</xdr:colOff>
      <xdr:row>482</xdr:row>
      <xdr:rowOff>50800</xdr:rowOff>
    </xdr:to>
    <xdr:pic>
      <xdr:nvPicPr>
        <xdr:cNvPr id="481" name="圖片 480" descr="https://www.slickcharts.com/img/up.gif">
          <a:extLst>
            <a:ext uri="{FF2B5EF4-FFF2-40B4-BE49-F238E27FC236}">
              <a16:creationId xmlns:a16="http://schemas.microsoft.com/office/drawing/2014/main" id="{A0F46B62-9CE6-470F-95F1-CD40FFBC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632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88900</xdr:colOff>
      <xdr:row>483</xdr:row>
      <xdr:rowOff>50800</xdr:rowOff>
    </xdr:to>
    <xdr:pic>
      <xdr:nvPicPr>
        <xdr:cNvPr id="482" name="圖片 481" descr="https://www.slickcharts.com/img/up.gif">
          <a:extLst>
            <a:ext uri="{FF2B5EF4-FFF2-40B4-BE49-F238E27FC236}">
              <a16:creationId xmlns:a16="http://schemas.microsoft.com/office/drawing/2014/main" id="{4B8A6601-0225-445E-9CE0-EBE404F95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847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88900</xdr:colOff>
      <xdr:row>484</xdr:row>
      <xdr:rowOff>50800</xdr:rowOff>
    </xdr:to>
    <xdr:pic>
      <xdr:nvPicPr>
        <xdr:cNvPr id="483" name="圖片 482" descr="https://www.slickcharts.com/img/up.gif">
          <a:extLst>
            <a:ext uri="{FF2B5EF4-FFF2-40B4-BE49-F238E27FC236}">
              <a16:creationId xmlns:a16="http://schemas.microsoft.com/office/drawing/2014/main" id="{E45D9391-0503-45C6-BFE4-DD388507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063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88900</xdr:colOff>
      <xdr:row>485</xdr:row>
      <xdr:rowOff>50800</xdr:rowOff>
    </xdr:to>
    <xdr:pic>
      <xdr:nvPicPr>
        <xdr:cNvPr id="484" name="圖片 483" descr="https://www.slickcharts.com/img/down.gif">
          <a:extLst>
            <a:ext uri="{FF2B5EF4-FFF2-40B4-BE49-F238E27FC236}">
              <a16:creationId xmlns:a16="http://schemas.microsoft.com/office/drawing/2014/main" id="{40F73DF8-D9A3-411B-B2C3-DED4991B3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279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88900</xdr:colOff>
      <xdr:row>486</xdr:row>
      <xdr:rowOff>50800</xdr:rowOff>
    </xdr:to>
    <xdr:pic>
      <xdr:nvPicPr>
        <xdr:cNvPr id="485" name="圖片 484" descr="https://www.slickcharts.com/img/up.gif">
          <a:extLst>
            <a:ext uri="{FF2B5EF4-FFF2-40B4-BE49-F238E27FC236}">
              <a16:creationId xmlns:a16="http://schemas.microsoft.com/office/drawing/2014/main" id="{25302B58-B44D-4C0C-B2AC-83C8D522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495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88900</xdr:colOff>
      <xdr:row>487</xdr:row>
      <xdr:rowOff>50800</xdr:rowOff>
    </xdr:to>
    <xdr:pic>
      <xdr:nvPicPr>
        <xdr:cNvPr id="486" name="圖片 485" descr="https://www.slickcharts.com/img/up.gif">
          <a:extLst>
            <a:ext uri="{FF2B5EF4-FFF2-40B4-BE49-F238E27FC236}">
              <a16:creationId xmlns:a16="http://schemas.microsoft.com/office/drawing/2014/main" id="{EB2CBDBD-4B21-4F7A-9090-0CEB9FC5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711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88900</xdr:colOff>
      <xdr:row>488</xdr:row>
      <xdr:rowOff>50800</xdr:rowOff>
    </xdr:to>
    <xdr:pic>
      <xdr:nvPicPr>
        <xdr:cNvPr id="487" name="圖片 486" descr="https://www.slickcharts.com/img/up.gif">
          <a:extLst>
            <a:ext uri="{FF2B5EF4-FFF2-40B4-BE49-F238E27FC236}">
              <a16:creationId xmlns:a16="http://schemas.microsoft.com/office/drawing/2014/main" id="{88586403-FFF4-4512-A466-EE01C199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927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88900</xdr:colOff>
      <xdr:row>489</xdr:row>
      <xdr:rowOff>50800</xdr:rowOff>
    </xdr:to>
    <xdr:pic>
      <xdr:nvPicPr>
        <xdr:cNvPr id="488" name="圖片 487" descr="https://www.slickcharts.com/img/up.gif">
          <a:extLst>
            <a:ext uri="{FF2B5EF4-FFF2-40B4-BE49-F238E27FC236}">
              <a16:creationId xmlns:a16="http://schemas.microsoft.com/office/drawing/2014/main" id="{3FB3C843-FC86-4857-AC88-0A7AE472C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143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88900</xdr:colOff>
      <xdr:row>490</xdr:row>
      <xdr:rowOff>50800</xdr:rowOff>
    </xdr:to>
    <xdr:pic>
      <xdr:nvPicPr>
        <xdr:cNvPr id="489" name="圖片 488" descr="https://www.slickcharts.com/img/down.gif">
          <a:extLst>
            <a:ext uri="{FF2B5EF4-FFF2-40B4-BE49-F238E27FC236}">
              <a16:creationId xmlns:a16="http://schemas.microsoft.com/office/drawing/2014/main" id="{C8604D5F-A5EF-44C1-8061-196BAC45C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359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88900</xdr:colOff>
      <xdr:row>491</xdr:row>
      <xdr:rowOff>50800</xdr:rowOff>
    </xdr:to>
    <xdr:pic>
      <xdr:nvPicPr>
        <xdr:cNvPr id="490" name="圖片 489" descr="https://www.slickcharts.com/img/up.gif">
          <a:extLst>
            <a:ext uri="{FF2B5EF4-FFF2-40B4-BE49-F238E27FC236}">
              <a16:creationId xmlns:a16="http://schemas.microsoft.com/office/drawing/2014/main" id="{A7008B19-FA1A-4EAE-9B9A-DF1AFBD62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575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88900</xdr:colOff>
      <xdr:row>492</xdr:row>
      <xdr:rowOff>50800</xdr:rowOff>
    </xdr:to>
    <xdr:pic>
      <xdr:nvPicPr>
        <xdr:cNvPr id="491" name="圖片 490" descr="https://www.slickcharts.com/img/up.gif">
          <a:extLst>
            <a:ext uri="{FF2B5EF4-FFF2-40B4-BE49-F238E27FC236}">
              <a16:creationId xmlns:a16="http://schemas.microsoft.com/office/drawing/2014/main" id="{B11D917A-370C-477A-942B-1262CD3DB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5791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84</xdr:row>
      <xdr:rowOff>0</xdr:rowOff>
    </xdr:from>
    <xdr:to>
      <xdr:col>7</xdr:col>
      <xdr:colOff>88900</xdr:colOff>
      <xdr:row>84</xdr:row>
      <xdr:rowOff>50800</xdr:rowOff>
    </xdr:to>
    <xdr:pic>
      <xdr:nvPicPr>
        <xdr:cNvPr id="492" name="圖片 491" descr="https://www.slickcharts.com/img/down.gif">
          <a:extLst>
            <a:ext uri="{FF2B5EF4-FFF2-40B4-BE49-F238E27FC236}">
              <a16:creationId xmlns:a16="http://schemas.microsoft.com/office/drawing/2014/main" id="{AC43512C-180F-481B-8988-F8776A0F5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006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88900</xdr:colOff>
      <xdr:row>493</xdr:row>
      <xdr:rowOff>50800</xdr:rowOff>
    </xdr:to>
    <xdr:pic>
      <xdr:nvPicPr>
        <xdr:cNvPr id="493" name="圖片 492" descr="https://www.slickcharts.com/img/up.gif">
          <a:extLst>
            <a:ext uri="{FF2B5EF4-FFF2-40B4-BE49-F238E27FC236}">
              <a16:creationId xmlns:a16="http://schemas.microsoft.com/office/drawing/2014/main" id="{867167DC-3055-4672-97BF-186CB4EF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222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88900</xdr:colOff>
      <xdr:row>494</xdr:row>
      <xdr:rowOff>50800</xdr:rowOff>
    </xdr:to>
    <xdr:pic>
      <xdr:nvPicPr>
        <xdr:cNvPr id="494" name="圖片 493" descr="https://www.slickcharts.com/img/up.gif">
          <a:extLst>
            <a:ext uri="{FF2B5EF4-FFF2-40B4-BE49-F238E27FC236}">
              <a16:creationId xmlns:a16="http://schemas.microsoft.com/office/drawing/2014/main" id="{D2051D46-07C9-48E2-8B88-01B6047A8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438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88900</xdr:colOff>
      <xdr:row>495</xdr:row>
      <xdr:rowOff>50800</xdr:rowOff>
    </xdr:to>
    <xdr:pic>
      <xdr:nvPicPr>
        <xdr:cNvPr id="495" name="圖片 494" descr="https://www.slickcharts.com/img/up.gif">
          <a:extLst>
            <a:ext uri="{FF2B5EF4-FFF2-40B4-BE49-F238E27FC236}">
              <a16:creationId xmlns:a16="http://schemas.microsoft.com/office/drawing/2014/main" id="{4CA543B6-8B08-4000-9A20-4AA2A92E3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6546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88900</xdr:colOff>
      <xdr:row>496</xdr:row>
      <xdr:rowOff>50800</xdr:rowOff>
    </xdr:to>
    <xdr:pic>
      <xdr:nvPicPr>
        <xdr:cNvPr id="496" name="圖片 495" descr="https://www.slickcharts.com/img/up.gif">
          <a:extLst>
            <a:ext uri="{FF2B5EF4-FFF2-40B4-BE49-F238E27FC236}">
              <a16:creationId xmlns:a16="http://schemas.microsoft.com/office/drawing/2014/main" id="{A5C3D3C1-11AD-4D46-83E6-68029C227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8705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88900</xdr:colOff>
      <xdr:row>85</xdr:row>
      <xdr:rowOff>50800</xdr:rowOff>
    </xdr:to>
    <xdr:pic>
      <xdr:nvPicPr>
        <xdr:cNvPr id="497" name="圖片 496" descr="https://www.slickcharts.com/img/up.gif">
          <a:extLst>
            <a:ext uri="{FF2B5EF4-FFF2-40B4-BE49-F238E27FC236}">
              <a16:creationId xmlns:a16="http://schemas.microsoft.com/office/drawing/2014/main" id="{4AB67E7B-5AC2-4B1F-828B-0875F994D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0864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88900</xdr:colOff>
      <xdr:row>497</xdr:row>
      <xdr:rowOff>50800</xdr:rowOff>
    </xdr:to>
    <xdr:pic>
      <xdr:nvPicPr>
        <xdr:cNvPr id="498" name="圖片 497" descr="https://www.slickcharts.com/img/up.gif">
          <a:extLst>
            <a:ext uri="{FF2B5EF4-FFF2-40B4-BE49-F238E27FC236}">
              <a16:creationId xmlns:a16="http://schemas.microsoft.com/office/drawing/2014/main" id="{62823024-4CD2-493A-BEB6-18EC075AC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3023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88900</xdr:colOff>
      <xdr:row>498</xdr:row>
      <xdr:rowOff>50800</xdr:rowOff>
    </xdr:to>
    <xdr:pic>
      <xdr:nvPicPr>
        <xdr:cNvPr id="499" name="圖片 498" descr="https://www.slickcharts.com/img/up.gif">
          <a:extLst>
            <a:ext uri="{FF2B5EF4-FFF2-40B4-BE49-F238E27FC236}">
              <a16:creationId xmlns:a16="http://schemas.microsoft.com/office/drawing/2014/main" id="{D18A61CD-3032-4431-8C34-653F4A30E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5182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88900</xdr:colOff>
      <xdr:row>499</xdr:row>
      <xdr:rowOff>50800</xdr:rowOff>
    </xdr:to>
    <xdr:pic>
      <xdr:nvPicPr>
        <xdr:cNvPr id="500" name="圖片 499" descr="https://www.slickcharts.com/img/up.gif">
          <a:extLst>
            <a:ext uri="{FF2B5EF4-FFF2-40B4-BE49-F238E27FC236}">
              <a16:creationId xmlns:a16="http://schemas.microsoft.com/office/drawing/2014/main" id="{752A59E2-593C-4281-A107-BF34D5E9C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7341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88900</xdr:colOff>
      <xdr:row>500</xdr:row>
      <xdr:rowOff>50800</xdr:rowOff>
    </xdr:to>
    <xdr:pic>
      <xdr:nvPicPr>
        <xdr:cNvPr id="501" name="圖片 500" descr="https://www.slickcharts.com/img/up.gif">
          <a:extLst>
            <a:ext uri="{FF2B5EF4-FFF2-40B4-BE49-F238E27FC236}">
              <a16:creationId xmlns:a16="http://schemas.microsoft.com/office/drawing/2014/main" id="{FD2CB36A-45CE-4CB6-854F-6BB69C001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79500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88900</xdr:colOff>
      <xdr:row>501</xdr:row>
      <xdr:rowOff>50800</xdr:rowOff>
    </xdr:to>
    <xdr:pic>
      <xdr:nvPicPr>
        <xdr:cNvPr id="502" name="圖片 501" descr="https://www.slickcharts.com/img/up.gif">
          <a:extLst>
            <a:ext uri="{FF2B5EF4-FFF2-40B4-BE49-F238E27FC236}">
              <a16:creationId xmlns:a16="http://schemas.microsoft.com/office/drawing/2014/main" id="{54CCF405-295D-4E9F-80B5-A7DDCF41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1659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88900</xdr:colOff>
      <xdr:row>502</xdr:row>
      <xdr:rowOff>50800</xdr:rowOff>
    </xdr:to>
    <xdr:pic>
      <xdr:nvPicPr>
        <xdr:cNvPr id="503" name="圖片 502" descr="https://www.slickcharts.com/img/down.gif">
          <a:extLst>
            <a:ext uri="{FF2B5EF4-FFF2-40B4-BE49-F238E27FC236}">
              <a16:creationId xmlns:a16="http://schemas.microsoft.com/office/drawing/2014/main" id="{8E8F942E-C379-41DA-B8A9-9286DE7D8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3818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88900</xdr:colOff>
      <xdr:row>503</xdr:row>
      <xdr:rowOff>50800</xdr:rowOff>
    </xdr:to>
    <xdr:pic>
      <xdr:nvPicPr>
        <xdr:cNvPr id="504" name="圖片 503" descr="https://www.slickcharts.com/img/up.gif">
          <a:extLst>
            <a:ext uri="{FF2B5EF4-FFF2-40B4-BE49-F238E27FC236}">
              <a16:creationId xmlns:a16="http://schemas.microsoft.com/office/drawing/2014/main" id="{B67E9145-FA1E-411F-B5E1-A2FAFBEE3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597700"/>
          <a:ext cx="889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lickcharts.com/symbol/CEG" TargetMode="External"/><Relationship Id="rId21" Type="http://schemas.openxmlformats.org/officeDocument/2006/relationships/hyperlink" Target="https://www.slickcharts.com/symbol/LLY" TargetMode="External"/><Relationship Id="rId42" Type="http://schemas.openxmlformats.org/officeDocument/2006/relationships/hyperlink" Target="https://www.slickcharts.com/symbol/BAC" TargetMode="External"/><Relationship Id="rId63" Type="http://schemas.openxmlformats.org/officeDocument/2006/relationships/hyperlink" Target="https://www.slickcharts.com/symbol/T" TargetMode="External"/><Relationship Id="rId84" Type="http://schemas.openxmlformats.org/officeDocument/2006/relationships/hyperlink" Target="https://www.slickcharts.com/symbol/AXP" TargetMode="External"/><Relationship Id="rId138" Type="http://schemas.openxmlformats.org/officeDocument/2006/relationships/hyperlink" Target="https://www.slickcharts.com/symbol/SLB" TargetMode="External"/><Relationship Id="rId159" Type="http://schemas.openxmlformats.org/officeDocument/2006/relationships/hyperlink" Target="https://www.slickcharts.com/symbol/PPG" TargetMode="External"/><Relationship Id="rId170" Type="http://schemas.openxmlformats.org/officeDocument/2006/relationships/hyperlink" Target="https://www.slickcharts.com/symbol/AOS" TargetMode="External"/><Relationship Id="rId107" Type="http://schemas.openxmlformats.org/officeDocument/2006/relationships/hyperlink" Target="https://www.slickcharts.com/symbol/MO" TargetMode="External"/><Relationship Id="rId11" Type="http://schemas.openxmlformats.org/officeDocument/2006/relationships/hyperlink" Target="https://www.slickcharts.com/symbol/BRK.B" TargetMode="External"/><Relationship Id="rId32" Type="http://schemas.openxmlformats.org/officeDocument/2006/relationships/hyperlink" Target="https://www.slickcharts.com/symbol/JNJ" TargetMode="External"/><Relationship Id="rId53" Type="http://schemas.openxmlformats.org/officeDocument/2006/relationships/hyperlink" Target="https://www.slickcharts.com/symbol/ABT" TargetMode="External"/><Relationship Id="rId74" Type="http://schemas.openxmlformats.org/officeDocument/2006/relationships/hyperlink" Target="https://www.slickcharts.com/symbol/RTX" TargetMode="External"/><Relationship Id="rId128" Type="http://schemas.openxmlformats.org/officeDocument/2006/relationships/hyperlink" Target="https://www.slickcharts.com/symbol/EOG" TargetMode="External"/><Relationship Id="rId149" Type="http://schemas.openxmlformats.org/officeDocument/2006/relationships/hyperlink" Target="https://www.slickcharts.com/symbol/MNST" TargetMode="External"/><Relationship Id="rId5" Type="http://schemas.openxmlformats.org/officeDocument/2006/relationships/hyperlink" Target="https://www.slickcharts.com/symbol/NVDA" TargetMode="External"/><Relationship Id="rId95" Type="http://schemas.openxmlformats.org/officeDocument/2006/relationships/hyperlink" Target="https://www.slickcharts.com/symbol/LOW" TargetMode="External"/><Relationship Id="rId160" Type="http://schemas.openxmlformats.org/officeDocument/2006/relationships/hyperlink" Target="https://www.slickcharts.com/symbol/PPG" TargetMode="External"/><Relationship Id="rId22" Type="http://schemas.openxmlformats.org/officeDocument/2006/relationships/hyperlink" Target="https://www.slickcharts.com/symbol/LLY" TargetMode="External"/><Relationship Id="rId43" Type="http://schemas.openxmlformats.org/officeDocument/2006/relationships/hyperlink" Target="https://www.slickcharts.com/symbol/PM" TargetMode="External"/><Relationship Id="rId64" Type="http://schemas.openxmlformats.org/officeDocument/2006/relationships/hyperlink" Target="https://www.slickcharts.com/symbol/T" TargetMode="External"/><Relationship Id="rId118" Type="http://schemas.openxmlformats.org/officeDocument/2006/relationships/hyperlink" Target="https://www.slickcharts.com/symbol/CEG" TargetMode="External"/><Relationship Id="rId139" Type="http://schemas.openxmlformats.org/officeDocument/2006/relationships/hyperlink" Target="https://www.slickcharts.com/symbol/PCAR" TargetMode="External"/><Relationship Id="rId85" Type="http://schemas.openxmlformats.org/officeDocument/2006/relationships/hyperlink" Target="https://www.slickcharts.com/symbol/TJX" TargetMode="External"/><Relationship Id="rId150" Type="http://schemas.openxmlformats.org/officeDocument/2006/relationships/hyperlink" Target="https://www.slickcharts.com/symbol/MNST" TargetMode="External"/><Relationship Id="rId171" Type="http://schemas.openxmlformats.org/officeDocument/2006/relationships/hyperlink" Target="https://www.slickcharts.com/symbol/PARA" TargetMode="External"/><Relationship Id="rId12" Type="http://schemas.openxmlformats.org/officeDocument/2006/relationships/hyperlink" Target="https://www.slickcharts.com/symbol/BRK.B" TargetMode="External"/><Relationship Id="rId33" Type="http://schemas.openxmlformats.org/officeDocument/2006/relationships/hyperlink" Target="https://www.slickcharts.com/symbol/UNH" TargetMode="External"/><Relationship Id="rId108" Type="http://schemas.openxmlformats.org/officeDocument/2006/relationships/hyperlink" Target="https://www.slickcharts.com/symbol/MO" TargetMode="External"/><Relationship Id="rId129" Type="http://schemas.openxmlformats.org/officeDocument/2006/relationships/hyperlink" Target="https://www.slickcharts.com/symbol/APD" TargetMode="External"/><Relationship Id="rId54" Type="http://schemas.openxmlformats.org/officeDocument/2006/relationships/hyperlink" Target="https://www.slickcharts.com/symbol/ABT" TargetMode="External"/><Relationship Id="rId75" Type="http://schemas.openxmlformats.org/officeDocument/2006/relationships/hyperlink" Target="https://www.slickcharts.com/symbol/PGR" TargetMode="External"/><Relationship Id="rId96" Type="http://schemas.openxmlformats.org/officeDocument/2006/relationships/hyperlink" Target="https://www.slickcharts.com/symbol/LOW" TargetMode="External"/><Relationship Id="rId140" Type="http://schemas.openxmlformats.org/officeDocument/2006/relationships/hyperlink" Target="https://www.slickcharts.com/symbol/PCAR" TargetMode="External"/><Relationship Id="rId161" Type="http://schemas.openxmlformats.org/officeDocument/2006/relationships/hyperlink" Target="https://www.slickcharts.com/symbol/AMCR" TargetMode="External"/><Relationship Id="rId1" Type="http://schemas.openxmlformats.org/officeDocument/2006/relationships/hyperlink" Target="https://www.slickcharts.com/symbol/AAPL" TargetMode="External"/><Relationship Id="rId6" Type="http://schemas.openxmlformats.org/officeDocument/2006/relationships/hyperlink" Target="https://www.slickcharts.com/symbol/NVDA" TargetMode="External"/><Relationship Id="rId23" Type="http://schemas.openxmlformats.org/officeDocument/2006/relationships/hyperlink" Target="https://www.slickcharts.com/symbol/XOM" TargetMode="External"/><Relationship Id="rId28" Type="http://schemas.openxmlformats.org/officeDocument/2006/relationships/hyperlink" Target="https://www.slickcharts.com/symbol/WMT" TargetMode="External"/><Relationship Id="rId49" Type="http://schemas.openxmlformats.org/officeDocument/2006/relationships/hyperlink" Target="https://www.slickcharts.com/symbol/WFC" TargetMode="External"/><Relationship Id="rId114" Type="http://schemas.openxmlformats.org/officeDocument/2006/relationships/hyperlink" Target="https://www.slickcharts.com/symbol/SBUX" TargetMode="External"/><Relationship Id="rId119" Type="http://schemas.openxmlformats.org/officeDocument/2006/relationships/hyperlink" Target="https://www.slickcharts.com/symbol/CL" TargetMode="External"/><Relationship Id="rId44" Type="http://schemas.openxmlformats.org/officeDocument/2006/relationships/hyperlink" Target="https://www.slickcharts.com/symbol/PM" TargetMode="External"/><Relationship Id="rId60" Type="http://schemas.openxmlformats.org/officeDocument/2006/relationships/hyperlink" Target="https://www.slickcharts.com/symbol/LIN" TargetMode="External"/><Relationship Id="rId65" Type="http://schemas.openxmlformats.org/officeDocument/2006/relationships/hyperlink" Target="https://www.slickcharts.com/symbol/ISRG" TargetMode="External"/><Relationship Id="rId81" Type="http://schemas.openxmlformats.org/officeDocument/2006/relationships/hyperlink" Target="https://www.slickcharts.com/symbol/CAT" TargetMode="External"/><Relationship Id="rId86" Type="http://schemas.openxmlformats.org/officeDocument/2006/relationships/hyperlink" Target="https://www.slickcharts.com/symbol/TJX" TargetMode="External"/><Relationship Id="rId130" Type="http://schemas.openxmlformats.org/officeDocument/2006/relationships/hyperlink" Target="https://www.slickcharts.com/symbol/APD" TargetMode="External"/><Relationship Id="rId135" Type="http://schemas.openxmlformats.org/officeDocument/2006/relationships/hyperlink" Target="https://www.slickcharts.com/symbol/OKE" TargetMode="External"/><Relationship Id="rId151" Type="http://schemas.openxmlformats.org/officeDocument/2006/relationships/hyperlink" Target="https://www.slickcharts.com/symbol/F" TargetMode="External"/><Relationship Id="rId156" Type="http://schemas.openxmlformats.org/officeDocument/2006/relationships/hyperlink" Target="https://www.slickcharts.com/symbol/VLO" TargetMode="External"/><Relationship Id="rId172" Type="http://schemas.openxmlformats.org/officeDocument/2006/relationships/hyperlink" Target="https://www.slickcharts.com/symbol/PARA" TargetMode="External"/><Relationship Id="rId13" Type="http://schemas.openxmlformats.org/officeDocument/2006/relationships/hyperlink" Target="https://www.slickcharts.com/symbol/GOOGL" TargetMode="External"/><Relationship Id="rId18" Type="http://schemas.openxmlformats.org/officeDocument/2006/relationships/hyperlink" Target="https://www.slickcharts.com/symbol/TSLA" TargetMode="External"/><Relationship Id="rId39" Type="http://schemas.openxmlformats.org/officeDocument/2006/relationships/hyperlink" Target="https://www.slickcharts.com/symbol/KO" TargetMode="External"/><Relationship Id="rId109" Type="http://schemas.openxmlformats.org/officeDocument/2006/relationships/hyperlink" Target="https://www.slickcharts.com/symbol/SO" TargetMode="External"/><Relationship Id="rId34" Type="http://schemas.openxmlformats.org/officeDocument/2006/relationships/hyperlink" Target="https://www.slickcharts.com/symbol/UNH" TargetMode="External"/><Relationship Id="rId50" Type="http://schemas.openxmlformats.org/officeDocument/2006/relationships/hyperlink" Target="https://www.slickcharts.com/symbol/WFC" TargetMode="External"/><Relationship Id="rId55" Type="http://schemas.openxmlformats.org/officeDocument/2006/relationships/hyperlink" Target="https://www.slickcharts.com/symbol/MCD" TargetMode="External"/><Relationship Id="rId76" Type="http://schemas.openxmlformats.org/officeDocument/2006/relationships/hyperlink" Target="https://www.slickcharts.com/symbol/PGR" TargetMode="External"/><Relationship Id="rId97" Type="http://schemas.openxmlformats.org/officeDocument/2006/relationships/hyperlink" Target="https://www.slickcharts.com/symbol/DE" TargetMode="External"/><Relationship Id="rId104" Type="http://schemas.openxmlformats.org/officeDocument/2006/relationships/hyperlink" Target="https://www.slickcharts.com/symbol/COP" TargetMode="External"/><Relationship Id="rId120" Type="http://schemas.openxmlformats.org/officeDocument/2006/relationships/hyperlink" Target="https://www.slickcharts.com/symbol/CL" TargetMode="External"/><Relationship Id="rId125" Type="http://schemas.openxmlformats.org/officeDocument/2006/relationships/hyperlink" Target="https://www.slickcharts.com/symbol/ECL" TargetMode="External"/><Relationship Id="rId141" Type="http://schemas.openxmlformats.org/officeDocument/2006/relationships/hyperlink" Target="https://www.slickcharts.com/symbol/KVUE" TargetMode="External"/><Relationship Id="rId146" Type="http://schemas.openxmlformats.org/officeDocument/2006/relationships/hyperlink" Target="https://www.slickcharts.com/symbol/PSX" TargetMode="External"/><Relationship Id="rId167" Type="http://schemas.openxmlformats.org/officeDocument/2006/relationships/hyperlink" Target="https://www.slickcharts.com/symbol/FOXA" TargetMode="External"/><Relationship Id="rId7" Type="http://schemas.openxmlformats.org/officeDocument/2006/relationships/hyperlink" Target="https://www.slickcharts.com/symbol/AMZN" TargetMode="External"/><Relationship Id="rId71" Type="http://schemas.openxmlformats.org/officeDocument/2006/relationships/hyperlink" Target="https://www.slickcharts.com/symbol/GS" TargetMode="External"/><Relationship Id="rId92" Type="http://schemas.openxmlformats.org/officeDocument/2006/relationships/hyperlink" Target="https://www.slickcharts.com/symbol/NEE" TargetMode="External"/><Relationship Id="rId162" Type="http://schemas.openxmlformats.org/officeDocument/2006/relationships/hyperlink" Target="https://www.slickcharts.com/symbol/AMCR" TargetMode="External"/><Relationship Id="rId2" Type="http://schemas.openxmlformats.org/officeDocument/2006/relationships/hyperlink" Target="https://www.slickcharts.com/symbol/AAPL" TargetMode="External"/><Relationship Id="rId29" Type="http://schemas.openxmlformats.org/officeDocument/2006/relationships/hyperlink" Target="https://www.slickcharts.com/symbol/PG" TargetMode="External"/><Relationship Id="rId24" Type="http://schemas.openxmlformats.org/officeDocument/2006/relationships/hyperlink" Target="https://www.slickcharts.com/symbol/XOM" TargetMode="External"/><Relationship Id="rId40" Type="http://schemas.openxmlformats.org/officeDocument/2006/relationships/hyperlink" Target="https://www.slickcharts.com/symbol/KO" TargetMode="External"/><Relationship Id="rId45" Type="http://schemas.openxmlformats.org/officeDocument/2006/relationships/hyperlink" Target="https://www.slickcharts.com/symbol/CRM" TargetMode="External"/><Relationship Id="rId66" Type="http://schemas.openxmlformats.org/officeDocument/2006/relationships/hyperlink" Target="https://www.slickcharts.com/symbol/ISRG" TargetMode="External"/><Relationship Id="rId87" Type="http://schemas.openxmlformats.org/officeDocument/2006/relationships/hyperlink" Target="https://www.slickcharts.com/symbol/BA" TargetMode="External"/><Relationship Id="rId110" Type="http://schemas.openxmlformats.org/officeDocument/2006/relationships/hyperlink" Target="https://www.slickcharts.com/symbol/SO" TargetMode="External"/><Relationship Id="rId115" Type="http://schemas.openxmlformats.org/officeDocument/2006/relationships/hyperlink" Target="https://www.slickcharts.com/symbol/MDLZ" TargetMode="External"/><Relationship Id="rId131" Type="http://schemas.openxmlformats.org/officeDocument/2006/relationships/hyperlink" Target="https://www.slickcharts.com/symbol/AEP" TargetMode="External"/><Relationship Id="rId136" Type="http://schemas.openxmlformats.org/officeDocument/2006/relationships/hyperlink" Target="https://www.slickcharts.com/symbol/OKE" TargetMode="External"/><Relationship Id="rId157" Type="http://schemas.openxmlformats.org/officeDocument/2006/relationships/hyperlink" Target="https://www.slickcharts.com/symbol/DD" TargetMode="External"/><Relationship Id="rId61" Type="http://schemas.openxmlformats.org/officeDocument/2006/relationships/hyperlink" Target="https://www.slickcharts.com/symbol/MRK" TargetMode="External"/><Relationship Id="rId82" Type="http://schemas.openxmlformats.org/officeDocument/2006/relationships/hyperlink" Target="https://www.slickcharts.com/symbol/CAT" TargetMode="External"/><Relationship Id="rId152" Type="http://schemas.openxmlformats.org/officeDocument/2006/relationships/hyperlink" Target="https://www.slickcharts.com/symbol/F" TargetMode="External"/><Relationship Id="rId173" Type="http://schemas.openxmlformats.org/officeDocument/2006/relationships/printerSettings" Target="../printerSettings/printerSettings1.bin"/><Relationship Id="rId19" Type="http://schemas.openxmlformats.org/officeDocument/2006/relationships/hyperlink" Target="https://www.slickcharts.com/symbol/JPM" TargetMode="External"/><Relationship Id="rId14" Type="http://schemas.openxmlformats.org/officeDocument/2006/relationships/hyperlink" Target="https://www.slickcharts.com/symbol/GOOGL" TargetMode="External"/><Relationship Id="rId30" Type="http://schemas.openxmlformats.org/officeDocument/2006/relationships/hyperlink" Target="https://www.slickcharts.com/symbol/PG" TargetMode="External"/><Relationship Id="rId35" Type="http://schemas.openxmlformats.org/officeDocument/2006/relationships/hyperlink" Target="https://www.slickcharts.com/symbol/HD" TargetMode="External"/><Relationship Id="rId56" Type="http://schemas.openxmlformats.org/officeDocument/2006/relationships/hyperlink" Target="https://www.slickcharts.com/symbol/MCD" TargetMode="External"/><Relationship Id="rId77" Type="http://schemas.openxmlformats.org/officeDocument/2006/relationships/hyperlink" Target="https://www.slickcharts.com/symbol/AMGN" TargetMode="External"/><Relationship Id="rId100" Type="http://schemas.openxmlformats.org/officeDocument/2006/relationships/hyperlink" Target="https://www.slickcharts.com/symbol/ETN" TargetMode="External"/><Relationship Id="rId105" Type="http://schemas.openxmlformats.org/officeDocument/2006/relationships/hyperlink" Target="https://www.slickcharts.com/symbol/GEV" TargetMode="External"/><Relationship Id="rId126" Type="http://schemas.openxmlformats.org/officeDocument/2006/relationships/hyperlink" Target="https://www.slickcharts.com/symbol/ECL" TargetMode="External"/><Relationship Id="rId147" Type="http://schemas.openxmlformats.org/officeDocument/2006/relationships/hyperlink" Target="https://www.slickcharts.com/symbol/CTVA" TargetMode="External"/><Relationship Id="rId168" Type="http://schemas.openxmlformats.org/officeDocument/2006/relationships/hyperlink" Target="https://www.slickcharts.com/symbol/FOXA" TargetMode="External"/><Relationship Id="rId8" Type="http://schemas.openxmlformats.org/officeDocument/2006/relationships/hyperlink" Target="https://www.slickcharts.com/symbol/AMZN" TargetMode="External"/><Relationship Id="rId51" Type="http://schemas.openxmlformats.org/officeDocument/2006/relationships/hyperlink" Target="https://www.slickcharts.com/symbol/CVX" TargetMode="External"/><Relationship Id="rId72" Type="http://schemas.openxmlformats.org/officeDocument/2006/relationships/hyperlink" Target="https://www.slickcharts.com/symbol/GS" TargetMode="External"/><Relationship Id="rId93" Type="http://schemas.openxmlformats.org/officeDocument/2006/relationships/hyperlink" Target="https://www.slickcharts.com/symbol/CMCSA" TargetMode="External"/><Relationship Id="rId98" Type="http://schemas.openxmlformats.org/officeDocument/2006/relationships/hyperlink" Target="https://www.slickcharts.com/symbol/DE" TargetMode="External"/><Relationship Id="rId121" Type="http://schemas.openxmlformats.org/officeDocument/2006/relationships/hyperlink" Target="https://www.slickcharts.com/symbol/CTAS" TargetMode="External"/><Relationship Id="rId142" Type="http://schemas.openxmlformats.org/officeDocument/2006/relationships/hyperlink" Target="https://www.slickcharts.com/symbol/KVUE" TargetMode="External"/><Relationship Id="rId163" Type="http://schemas.openxmlformats.org/officeDocument/2006/relationships/hyperlink" Target="https://www.slickcharts.com/symbol/WBD" TargetMode="External"/><Relationship Id="rId3" Type="http://schemas.openxmlformats.org/officeDocument/2006/relationships/hyperlink" Target="https://www.slickcharts.com/symbol/MSFT" TargetMode="External"/><Relationship Id="rId25" Type="http://schemas.openxmlformats.org/officeDocument/2006/relationships/hyperlink" Target="https://www.slickcharts.com/symbol/COST" TargetMode="External"/><Relationship Id="rId46" Type="http://schemas.openxmlformats.org/officeDocument/2006/relationships/hyperlink" Target="https://www.slickcharts.com/symbol/CRM" TargetMode="External"/><Relationship Id="rId67" Type="http://schemas.openxmlformats.org/officeDocument/2006/relationships/hyperlink" Target="https://www.slickcharts.com/symbol/PEP" TargetMode="External"/><Relationship Id="rId116" Type="http://schemas.openxmlformats.org/officeDocument/2006/relationships/hyperlink" Target="https://www.slickcharts.com/symbol/MDLZ" TargetMode="External"/><Relationship Id="rId137" Type="http://schemas.openxmlformats.org/officeDocument/2006/relationships/hyperlink" Target="https://www.slickcharts.com/symbol/SLB" TargetMode="External"/><Relationship Id="rId158" Type="http://schemas.openxmlformats.org/officeDocument/2006/relationships/hyperlink" Target="https://www.slickcharts.com/symbol/DD" TargetMode="External"/><Relationship Id="rId20" Type="http://schemas.openxmlformats.org/officeDocument/2006/relationships/hyperlink" Target="https://www.slickcharts.com/symbol/JPM" TargetMode="External"/><Relationship Id="rId41" Type="http://schemas.openxmlformats.org/officeDocument/2006/relationships/hyperlink" Target="https://www.slickcharts.com/symbol/BAC" TargetMode="External"/><Relationship Id="rId62" Type="http://schemas.openxmlformats.org/officeDocument/2006/relationships/hyperlink" Target="https://www.slickcharts.com/symbol/MRK" TargetMode="External"/><Relationship Id="rId83" Type="http://schemas.openxmlformats.org/officeDocument/2006/relationships/hyperlink" Target="https://www.slickcharts.com/symbol/AXP" TargetMode="External"/><Relationship Id="rId88" Type="http://schemas.openxmlformats.org/officeDocument/2006/relationships/hyperlink" Target="https://www.slickcharts.com/symbol/BA" TargetMode="External"/><Relationship Id="rId111" Type="http://schemas.openxmlformats.org/officeDocument/2006/relationships/hyperlink" Target="https://www.slickcharts.com/symbol/DUK" TargetMode="External"/><Relationship Id="rId132" Type="http://schemas.openxmlformats.org/officeDocument/2006/relationships/hyperlink" Target="https://www.slickcharts.com/symbol/AEP" TargetMode="External"/><Relationship Id="rId153" Type="http://schemas.openxmlformats.org/officeDocument/2006/relationships/hyperlink" Target="https://www.slickcharts.com/symbol/CHTR" TargetMode="External"/><Relationship Id="rId174" Type="http://schemas.openxmlformats.org/officeDocument/2006/relationships/drawing" Target="../drawings/drawing1.xml"/><Relationship Id="rId15" Type="http://schemas.openxmlformats.org/officeDocument/2006/relationships/hyperlink" Target="https://www.slickcharts.com/symbol/AVGO" TargetMode="External"/><Relationship Id="rId36" Type="http://schemas.openxmlformats.org/officeDocument/2006/relationships/hyperlink" Target="https://www.slickcharts.com/symbol/HD" TargetMode="External"/><Relationship Id="rId57" Type="http://schemas.openxmlformats.org/officeDocument/2006/relationships/hyperlink" Target="https://www.slickcharts.com/symbol/GE" TargetMode="External"/><Relationship Id="rId106" Type="http://schemas.openxmlformats.org/officeDocument/2006/relationships/hyperlink" Target="https://www.slickcharts.com/symbol/GEV" TargetMode="External"/><Relationship Id="rId127" Type="http://schemas.openxmlformats.org/officeDocument/2006/relationships/hyperlink" Target="https://www.slickcharts.com/symbol/EOG" TargetMode="External"/><Relationship Id="rId10" Type="http://schemas.openxmlformats.org/officeDocument/2006/relationships/hyperlink" Target="https://www.slickcharts.com/symbol/META" TargetMode="External"/><Relationship Id="rId31" Type="http://schemas.openxmlformats.org/officeDocument/2006/relationships/hyperlink" Target="https://www.slickcharts.com/symbol/JNJ" TargetMode="External"/><Relationship Id="rId52" Type="http://schemas.openxmlformats.org/officeDocument/2006/relationships/hyperlink" Target="https://www.slickcharts.com/symbol/CVX" TargetMode="External"/><Relationship Id="rId73" Type="http://schemas.openxmlformats.org/officeDocument/2006/relationships/hyperlink" Target="https://www.slickcharts.com/symbol/RTX" TargetMode="External"/><Relationship Id="rId78" Type="http://schemas.openxmlformats.org/officeDocument/2006/relationships/hyperlink" Target="https://www.slickcharts.com/symbol/AMGN" TargetMode="External"/><Relationship Id="rId94" Type="http://schemas.openxmlformats.org/officeDocument/2006/relationships/hyperlink" Target="https://www.slickcharts.com/symbol/CMCSA" TargetMode="External"/><Relationship Id="rId99" Type="http://schemas.openxmlformats.org/officeDocument/2006/relationships/hyperlink" Target="https://www.slickcharts.com/symbol/ETN" TargetMode="External"/><Relationship Id="rId101" Type="http://schemas.openxmlformats.org/officeDocument/2006/relationships/hyperlink" Target="https://www.slickcharts.com/symbol/TMUS" TargetMode="External"/><Relationship Id="rId122" Type="http://schemas.openxmlformats.org/officeDocument/2006/relationships/hyperlink" Target="https://www.slickcharts.com/symbol/CTAS" TargetMode="External"/><Relationship Id="rId143" Type="http://schemas.openxmlformats.org/officeDocument/2006/relationships/hyperlink" Target="https://www.slickcharts.com/symbol/MPC" TargetMode="External"/><Relationship Id="rId148" Type="http://schemas.openxmlformats.org/officeDocument/2006/relationships/hyperlink" Target="https://www.slickcharts.com/symbol/CTVA" TargetMode="External"/><Relationship Id="rId164" Type="http://schemas.openxmlformats.org/officeDocument/2006/relationships/hyperlink" Target="https://www.slickcharts.com/symbol/WBD" TargetMode="External"/><Relationship Id="rId169" Type="http://schemas.openxmlformats.org/officeDocument/2006/relationships/hyperlink" Target="https://www.slickcharts.com/symbol/AOS" TargetMode="External"/><Relationship Id="rId4" Type="http://schemas.openxmlformats.org/officeDocument/2006/relationships/hyperlink" Target="https://www.slickcharts.com/symbol/MSFT" TargetMode="External"/><Relationship Id="rId9" Type="http://schemas.openxmlformats.org/officeDocument/2006/relationships/hyperlink" Target="https://www.slickcharts.com/symbol/META" TargetMode="External"/><Relationship Id="rId26" Type="http://schemas.openxmlformats.org/officeDocument/2006/relationships/hyperlink" Target="https://www.slickcharts.com/symbol/COST" TargetMode="External"/><Relationship Id="rId47" Type="http://schemas.openxmlformats.org/officeDocument/2006/relationships/hyperlink" Target="https://www.slickcharts.com/symbol/PLTR" TargetMode="External"/><Relationship Id="rId68" Type="http://schemas.openxmlformats.org/officeDocument/2006/relationships/hyperlink" Target="https://www.slickcharts.com/symbol/PEP" TargetMode="External"/><Relationship Id="rId89" Type="http://schemas.openxmlformats.org/officeDocument/2006/relationships/hyperlink" Target="https://www.slickcharts.com/symbol/HON" TargetMode="External"/><Relationship Id="rId112" Type="http://schemas.openxmlformats.org/officeDocument/2006/relationships/hyperlink" Target="https://www.slickcharts.com/symbol/DUK" TargetMode="External"/><Relationship Id="rId133" Type="http://schemas.openxmlformats.org/officeDocument/2006/relationships/hyperlink" Target="https://www.slickcharts.com/symbol/KMI" TargetMode="External"/><Relationship Id="rId154" Type="http://schemas.openxmlformats.org/officeDocument/2006/relationships/hyperlink" Target="https://www.slickcharts.com/symbol/CHTR" TargetMode="External"/><Relationship Id="rId16" Type="http://schemas.openxmlformats.org/officeDocument/2006/relationships/hyperlink" Target="https://www.slickcharts.com/symbol/AVGO" TargetMode="External"/><Relationship Id="rId37" Type="http://schemas.openxmlformats.org/officeDocument/2006/relationships/hyperlink" Target="https://www.slickcharts.com/symbol/ABBV" TargetMode="External"/><Relationship Id="rId58" Type="http://schemas.openxmlformats.org/officeDocument/2006/relationships/hyperlink" Target="https://www.slickcharts.com/symbol/GE" TargetMode="External"/><Relationship Id="rId79" Type="http://schemas.openxmlformats.org/officeDocument/2006/relationships/hyperlink" Target="https://www.slickcharts.com/symbol/BSX" TargetMode="External"/><Relationship Id="rId102" Type="http://schemas.openxmlformats.org/officeDocument/2006/relationships/hyperlink" Target="https://www.slickcharts.com/symbol/TMUS" TargetMode="External"/><Relationship Id="rId123" Type="http://schemas.openxmlformats.org/officeDocument/2006/relationships/hyperlink" Target="https://www.slickcharts.com/symbol/WMB" TargetMode="External"/><Relationship Id="rId144" Type="http://schemas.openxmlformats.org/officeDocument/2006/relationships/hyperlink" Target="https://www.slickcharts.com/symbol/MPC" TargetMode="External"/><Relationship Id="rId90" Type="http://schemas.openxmlformats.org/officeDocument/2006/relationships/hyperlink" Target="https://www.slickcharts.com/symbol/HON" TargetMode="External"/><Relationship Id="rId165" Type="http://schemas.openxmlformats.org/officeDocument/2006/relationships/hyperlink" Target="https://www.slickcharts.com/symbol/APTV" TargetMode="External"/><Relationship Id="rId27" Type="http://schemas.openxmlformats.org/officeDocument/2006/relationships/hyperlink" Target="https://www.slickcharts.com/symbol/WMT" TargetMode="External"/><Relationship Id="rId48" Type="http://schemas.openxmlformats.org/officeDocument/2006/relationships/hyperlink" Target="https://www.slickcharts.com/symbol/PLTR" TargetMode="External"/><Relationship Id="rId69" Type="http://schemas.openxmlformats.org/officeDocument/2006/relationships/hyperlink" Target="https://www.slickcharts.com/symbol/VZ" TargetMode="External"/><Relationship Id="rId113" Type="http://schemas.openxmlformats.org/officeDocument/2006/relationships/hyperlink" Target="https://www.slickcharts.com/symbol/SBUX" TargetMode="External"/><Relationship Id="rId134" Type="http://schemas.openxmlformats.org/officeDocument/2006/relationships/hyperlink" Target="https://www.slickcharts.com/symbol/KMI" TargetMode="External"/><Relationship Id="rId80" Type="http://schemas.openxmlformats.org/officeDocument/2006/relationships/hyperlink" Target="https://www.slickcharts.com/symbol/BSX" TargetMode="External"/><Relationship Id="rId155" Type="http://schemas.openxmlformats.org/officeDocument/2006/relationships/hyperlink" Target="https://www.slickcharts.com/symbol/VLO" TargetMode="External"/><Relationship Id="rId17" Type="http://schemas.openxmlformats.org/officeDocument/2006/relationships/hyperlink" Target="https://www.slickcharts.com/symbol/TSLA" TargetMode="External"/><Relationship Id="rId38" Type="http://schemas.openxmlformats.org/officeDocument/2006/relationships/hyperlink" Target="https://www.slickcharts.com/symbol/ABBV" TargetMode="External"/><Relationship Id="rId59" Type="http://schemas.openxmlformats.org/officeDocument/2006/relationships/hyperlink" Target="https://www.slickcharts.com/symbol/LIN" TargetMode="External"/><Relationship Id="rId103" Type="http://schemas.openxmlformats.org/officeDocument/2006/relationships/hyperlink" Target="https://www.slickcharts.com/symbol/COP" TargetMode="External"/><Relationship Id="rId124" Type="http://schemas.openxmlformats.org/officeDocument/2006/relationships/hyperlink" Target="https://www.slickcharts.com/symbol/WMB" TargetMode="External"/><Relationship Id="rId70" Type="http://schemas.openxmlformats.org/officeDocument/2006/relationships/hyperlink" Target="https://www.slickcharts.com/symbol/VZ" TargetMode="External"/><Relationship Id="rId91" Type="http://schemas.openxmlformats.org/officeDocument/2006/relationships/hyperlink" Target="https://www.slickcharts.com/symbol/NEE" TargetMode="External"/><Relationship Id="rId145" Type="http://schemas.openxmlformats.org/officeDocument/2006/relationships/hyperlink" Target="https://www.slickcharts.com/symbol/PSX" TargetMode="External"/><Relationship Id="rId166" Type="http://schemas.openxmlformats.org/officeDocument/2006/relationships/hyperlink" Target="https://www.slickcharts.com/symbol/APTV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lickcharts.com/symbol/TJX" TargetMode="External"/><Relationship Id="rId299" Type="http://schemas.openxmlformats.org/officeDocument/2006/relationships/hyperlink" Target="https://www.slickcharts.com/symbol/FOXA" TargetMode="External"/><Relationship Id="rId21" Type="http://schemas.openxmlformats.org/officeDocument/2006/relationships/hyperlink" Target="https://www.slickcharts.com/symbol/LLY" TargetMode="External"/><Relationship Id="rId63" Type="http://schemas.openxmlformats.org/officeDocument/2006/relationships/hyperlink" Target="https://www.slickcharts.com/symbol/ABT" TargetMode="External"/><Relationship Id="rId159" Type="http://schemas.openxmlformats.org/officeDocument/2006/relationships/hyperlink" Target="https://www.slickcharts.com/symbol/GEV" TargetMode="External"/><Relationship Id="rId170" Type="http://schemas.openxmlformats.org/officeDocument/2006/relationships/hyperlink" Target="https://www.slickcharts.com/symbol/SO" TargetMode="External"/><Relationship Id="rId226" Type="http://schemas.openxmlformats.org/officeDocument/2006/relationships/hyperlink" Target="https://www.slickcharts.com/symbol/CPRT" TargetMode="External"/><Relationship Id="rId268" Type="http://schemas.openxmlformats.org/officeDocument/2006/relationships/hyperlink" Target="https://www.slickcharts.com/symbol/LULU" TargetMode="External"/><Relationship Id="rId32" Type="http://schemas.openxmlformats.org/officeDocument/2006/relationships/hyperlink" Target="https://www.slickcharts.com/symbol/COST" TargetMode="External"/><Relationship Id="rId74" Type="http://schemas.openxmlformats.org/officeDocument/2006/relationships/hyperlink" Target="https://www.slickcharts.com/symbol/MRK" TargetMode="External"/><Relationship Id="rId128" Type="http://schemas.openxmlformats.org/officeDocument/2006/relationships/hyperlink" Target="https://www.slickcharts.com/symbol/PFE" TargetMode="External"/><Relationship Id="rId5" Type="http://schemas.openxmlformats.org/officeDocument/2006/relationships/hyperlink" Target="https://www.slickcharts.com/symbol/NVDA" TargetMode="External"/><Relationship Id="rId181" Type="http://schemas.openxmlformats.org/officeDocument/2006/relationships/hyperlink" Target="https://www.slickcharts.com/symbol/MDLZ" TargetMode="External"/><Relationship Id="rId237" Type="http://schemas.openxmlformats.org/officeDocument/2006/relationships/hyperlink" Target="https://www.slickcharts.com/symbol/PAYX" TargetMode="External"/><Relationship Id="rId279" Type="http://schemas.openxmlformats.org/officeDocument/2006/relationships/hyperlink" Target="https://www.slickcharts.com/symbol/FANG" TargetMode="External"/><Relationship Id="rId43" Type="http://schemas.openxmlformats.org/officeDocument/2006/relationships/hyperlink" Target="https://www.slickcharts.com/symbol/ABBV" TargetMode="External"/><Relationship Id="rId139" Type="http://schemas.openxmlformats.org/officeDocument/2006/relationships/hyperlink" Target="https://www.slickcharts.com/symbol/C" TargetMode="External"/><Relationship Id="rId290" Type="http://schemas.openxmlformats.org/officeDocument/2006/relationships/hyperlink" Target="https://www.slickcharts.com/symbol/AMCR" TargetMode="External"/><Relationship Id="rId304" Type="http://schemas.openxmlformats.org/officeDocument/2006/relationships/hyperlink" Target="https://www.slickcharts.com/symbol/EMN" TargetMode="External"/><Relationship Id="rId85" Type="http://schemas.openxmlformats.org/officeDocument/2006/relationships/hyperlink" Target="https://www.slickcharts.com/symbol/VZ" TargetMode="External"/><Relationship Id="rId150" Type="http://schemas.openxmlformats.org/officeDocument/2006/relationships/hyperlink" Target="https://www.slickcharts.com/symbol/TMUS" TargetMode="External"/><Relationship Id="rId192" Type="http://schemas.openxmlformats.org/officeDocument/2006/relationships/hyperlink" Target="https://www.slickcharts.com/symbol/TDG" TargetMode="External"/><Relationship Id="rId206" Type="http://schemas.openxmlformats.org/officeDocument/2006/relationships/hyperlink" Target="https://www.slickcharts.com/symbol/GD" TargetMode="External"/><Relationship Id="rId248" Type="http://schemas.openxmlformats.org/officeDocument/2006/relationships/hyperlink" Target="https://www.slickcharts.com/symbol/MPC" TargetMode="External"/><Relationship Id="rId12" Type="http://schemas.openxmlformats.org/officeDocument/2006/relationships/hyperlink" Target="https://www.slickcharts.com/symbol/BRK.B" TargetMode="External"/><Relationship Id="rId108" Type="http://schemas.openxmlformats.org/officeDocument/2006/relationships/hyperlink" Target="https://www.slickcharts.com/symbol/AMGN" TargetMode="External"/><Relationship Id="rId54" Type="http://schemas.openxmlformats.org/officeDocument/2006/relationships/hyperlink" Target="https://www.slickcharts.com/symbol/PLTR" TargetMode="External"/><Relationship Id="rId96" Type="http://schemas.openxmlformats.org/officeDocument/2006/relationships/hyperlink" Target="https://www.slickcharts.com/symbol/BKNG" TargetMode="External"/><Relationship Id="rId161" Type="http://schemas.openxmlformats.org/officeDocument/2006/relationships/hyperlink" Target="https://www.slickcharts.com/symbol/AMT" TargetMode="External"/><Relationship Id="rId217" Type="http://schemas.openxmlformats.org/officeDocument/2006/relationships/hyperlink" Target="https://www.slickcharts.com/symbol/EOG" TargetMode="External"/><Relationship Id="rId259" Type="http://schemas.openxmlformats.org/officeDocument/2006/relationships/hyperlink" Target="https://www.slickcharts.com/symbol/CHTR" TargetMode="External"/><Relationship Id="rId23" Type="http://schemas.openxmlformats.org/officeDocument/2006/relationships/hyperlink" Target="https://www.slickcharts.com/symbol/V" TargetMode="External"/><Relationship Id="rId119" Type="http://schemas.openxmlformats.org/officeDocument/2006/relationships/hyperlink" Target="https://www.slickcharts.com/symbol/SCHW" TargetMode="External"/><Relationship Id="rId270" Type="http://schemas.openxmlformats.org/officeDocument/2006/relationships/hyperlink" Target="https://www.slickcharts.com/symbol/EQT" TargetMode="External"/><Relationship Id="rId44" Type="http://schemas.openxmlformats.org/officeDocument/2006/relationships/hyperlink" Target="https://www.slickcharts.com/symbol/ABBV" TargetMode="External"/><Relationship Id="rId65" Type="http://schemas.openxmlformats.org/officeDocument/2006/relationships/hyperlink" Target="https://www.slickcharts.com/symbol/MCD" TargetMode="External"/><Relationship Id="rId86" Type="http://schemas.openxmlformats.org/officeDocument/2006/relationships/hyperlink" Target="https://www.slickcharts.com/symbol/VZ" TargetMode="External"/><Relationship Id="rId130" Type="http://schemas.openxmlformats.org/officeDocument/2006/relationships/hyperlink" Target="https://www.slickcharts.com/symbol/BLK" TargetMode="External"/><Relationship Id="rId151" Type="http://schemas.openxmlformats.org/officeDocument/2006/relationships/hyperlink" Target="https://www.slickcharts.com/symbol/COP" TargetMode="External"/><Relationship Id="rId172" Type="http://schemas.openxmlformats.org/officeDocument/2006/relationships/hyperlink" Target="https://www.slickcharts.com/symbol/LMT" TargetMode="External"/><Relationship Id="rId193" Type="http://schemas.openxmlformats.org/officeDocument/2006/relationships/hyperlink" Target="https://www.slickcharts.com/symbol/PH" TargetMode="External"/><Relationship Id="rId207" Type="http://schemas.openxmlformats.org/officeDocument/2006/relationships/hyperlink" Target="https://www.slickcharts.com/symbol/CMG" TargetMode="External"/><Relationship Id="rId228" Type="http://schemas.openxmlformats.org/officeDocument/2006/relationships/hyperlink" Target="https://www.slickcharts.com/symbol/KMI" TargetMode="External"/><Relationship Id="rId249" Type="http://schemas.openxmlformats.org/officeDocument/2006/relationships/hyperlink" Target="https://www.slickcharts.com/symbol/PSX" TargetMode="External"/><Relationship Id="rId13" Type="http://schemas.openxmlformats.org/officeDocument/2006/relationships/hyperlink" Target="https://www.slickcharts.com/symbol/GOOGL" TargetMode="External"/><Relationship Id="rId109" Type="http://schemas.openxmlformats.org/officeDocument/2006/relationships/hyperlink" Target="https://www.slickcharts.com/symbol/BSX" TargetMode="External"/><Relationship Id="rId260" Type="http://schemas.openxmlformats.org/officeDocument/2006/relationships/hyperlink" Target="https://www.slickcharts.com/symbol/CHTR" TargetMode="External"/><Relationship Id="rId281" Type="http://schemas.openxmlformats.org/officeDocument/2006/relationships/hyperlink" Target="https://www.slickcharts.com/symbol/KHC" TargetMode="External"/><Relationship Id="rId34" Type="http://schemas.openxmlformats.org/officeDocument/2006/relationships/hyperlink" Target="https://www.slickcharts.com/symbol/WMT" TargetMode="External"/><Relationship Id="rId55" Type="http://schemas.openxmlformats.org/officeDocument/2006/relationships/hyperlink" Target="https://www.slickcharts.com/symbol/WFC" TargetMode="External"/><Relationship Id="rId76" Type="http://schemas.openxmlformats.org/officeDocument/2006/relationships/hyperlink" Target="https://www.slickcharts.com/symbol/T" TargetMode="External"/><Relationship Id="rId97" Type="http://schemas.openxmlformats.org/officeDocument/2006/relationships/hyperlink" Target="https://www.slickcharts.com/symbol/DIS" TargetMode="External"/><Relationship Id="rId120" Type="http://schemas.openxmlformats.org/officeDocument/2006/relationships/hyperlink" Target="https://www.slickcharts.com/symbol/SCHW" TargetMode="External"/><Relationship Id="rId141" Type="http://schemas.openxmlformats.org/officeDocument/2006/relationships/hyperlink" Target="https://www.slickcharts.com/symbol/CMCSA" TargetMode="External"/><Relationship Id="rId7" Type="http://schemas.openxmlformats.org/officeDocument/2006/relationships/hyperlink" Target="https://www.slickcharts.com/symbol/AMZN" TargetMode="External"/><Relationship Id="rId162" Type="http://schemas.openxmlformats.org/officeDocument/2006/relationships/hyperlink" Target="https://www.slickcharts.com/symbol/AMT" TargetMode="External"/><Relationship Id="rId183" Type="http://schemas.openxmlformats.org/officeDocument/2006/relationships/hyperlink" Target="https://www.slickcharts.com/symbol/CVS" TargetMode="External"/><Relationship Id="rId218" Type="http://schemas.openxmlformats.org/officeDocument/2006/relationships/hyperlink" Target="https://www.slickcharts.com/symbol/EOG" TargetMode="External"/><Relationship Id="rId239" Type="http://schemas.openxmlformats.org/officeDocument/2006/relationships/hyperlink" Target="https://www.slickcharts.com/symbol/EXC" TargetMode="External"/><Relationship Id="rId250" Type="http://schemas.openxmlformats.org/officeDocument/2006/relationships/hyperlink" Target="https://www.slickcharts.com/symbol/PSX" TargetMode="External"/><Relationship Id="rId271" Type="http://schemas.openxmlformats.org/officeDocument/2006/relationships/hyperlink" Target="https://www.slickcharts.com/symbol/STZ" TargetMode="External"/><Relationship Id="rId292" Type="http://schemas.openxmlformats.org/officeDocument/2006/relationships/hyperlink" Target="https://www.slickcharts.com/symbol/IFF" TargetMode="External"/><Relationship Id="rId306" Type="http://schemas.openxmlformats.org/officeDocument/2006/relationships/hyperlink" Target="https://www.slickcharts.com/symbol/AOS" TargetMode="External"/><Relationship Id="rId24" Type="http://schemas.openxmlformats.org/officeDocument/2006/relationships/hyperlink" Target="https://www.slickcharts.com/symbol/V" TargetMode="External"/><Relationship Id="rId45" Type="http://schemas.openxmlformats.org/officeDocument/2006/relationships/hyperlink" Target="https://www.slickcharts.com/symbol/KO" TargetMode="External"/><Relationship Id="rId66" Type="http://schemas.openxmlformats.org/officeDocument/2006/relationships/hyperlink" Target="https://www.slickcharts.com/symbol/MCD" TargetMode="External"/><Relationship Id="rId87" Type="http://schemas.openxmlformats.org/officeDocument/2006/relationships/hyperlink" Target="https://www.slickcharts.com/symbol/INTU" TargetMode="External"/><Relationship Id="rId110" Type="http://schemas.openxmlformats.org/officeDocument/2006/relationships/hyperlink" Target="https://www.slickcharts.com/symbol/BSX" TargetMode="External"/><Relationship Id="rId131" Type="http://schemas.openxmlformats.org/officeDocument/2006/relationships/hyperlink" Target="https://www.slickcharts.com/symbol/UNP" TargetMode="External"/><Relationship Id="rId152" Type="http://schemas.openxmlformats.org/officeDocument/2006/relationships/hyperlink" Target="https://www.slickcharts.com/symbol/COP" TargetMode="External"/><Relationship Id="rId173" Type="http://schemas.openxmlformats.org/officeDocument/2006/relationships/hyperlink" Target="https://www.slickcharts.com/symbol/DUK" TargetMode="External"/><Relationship Id="rId194" Type="http://schemas.openxmlformats.org/officeDocument/2006/relationships/hyperlink" Target="https://www.slickcharts.com/symbol/PH" TargetMode="External"/><Relationship Id="rId208" Type="http://schemas.openxmlformats.org/officeDocument/2006/relationships/hyperlink" Target="https://www.slickcharts.com/symbol/CMG" TargetMode="External"/><Relationship Id="rId229" Type="http://schemas.openxmlformats.org/officeDocument/2006/relationships/hyperlink" Target="https://www.slickcharts.com/symbol/OKE" TargetMode="External"/><Relationship Id="rId240" Type="http://schemas.openxmlformats.org/officeDocument/2006/relationships/hyperlink" Target="https://www.slickcharts.com/symbol/EXC" TargetMode="External"/><Relationship Id="rId261" Type="http://schemas.openxmlformats.org/officeDocument/2006/relationships/hyperlink" Target="https://www.slickcharts.com/symbol/VLO" TargetMode="External"/><Relationship Id="rId14" Type="http://schemas.openxmlformats.org/officeDocument/2006/relationships/hyperlink" Target="https://www.slickcharts.com/symbol/GOOGL" TargetMode="External"/><Relationship Id="rId35" Type="http://schemas.openxmlformats.org/officeDocument/2006/relationships/hyperlink" Target="https://www.slickcharts.com/symbol/PG" TargetMode="External"/><Relationship Id="rId56" Type="http://schemas.openxmlformats.org/officeDocument/2006/relationships/hyperlink" Target="https://www.slickcharts.com/symbol/WFC" TargetMode="External"/><Relationship Id="rId77" Type="http://schemas.openxmlformats.org/officeDocument/2006/relationships/hyperlink" Target="https://www.slickcharts.com/symbol/NOW" TargetMode="External"/><Relationship Id="rId100" Type="http://schemas.openxmlformats.org/officeDocument/2006/relationships/hyperlink" Target="https://www.slickcharts.com/symbol/ADBE" TargetMode="External"/><Relationship Id="rId282" Type="http://schemas.openxmlformats.org/officeDocument/2006/relationships/hyperlink" Target="https://www.slickcharts.com/symbol/KHC" TargetMode="External"/><Relationship Id="rId8" Type="http://schemas.openxmlformats.org/officeDocument/2006/relationships/hyperlink" Target="https://www.slickcharts.com/symbol/AMZN" TargetMode="External"/><Relationship Id="rId98" Type="http://schemas.openxmlformats.org/officeDocument/2006/relationships/hyperlink" Target="https://www.slickcharts.com/symbol/DIS" TargetMode="External"/><Relationship Id="rId121" Type="http://schemas.openxmlformats.org/officeDocument/2006/relationships/hyperlink" Target="https://www.slickcharts.com/symbol/BA" TargetMode="External"/><Relationship Id="rId142" Type="http://schemas.openxmlformats.org/officeDocument/2006/relationships/hyperlink" Target="https://www.slickcharts.com/symbol/CMCSA" TargetMode="External"/><Relationship Id="rId163" Type="http://schemas.openxmlformats.org/officeDocument/2006/relationships/hyperlink" Target="https://www.slickcharts.com/symbol/FI" TargetMode="External"/><Relationship Id="rId184" Type="http://schemas.openxmlformats.org/officeDocument/2006/relationships/hyperlink" Target="https://www.slickcharts.com/symbol/CVS" TargetMode="External"/><Relationship Id="rId219" Type="http://schemas.openxmlformats.org/officeDocument/2006/relationships/hyperlink" Target="https://www.slickcharts.com/symbol/AZO" TargetMode="External"/><Relationship Id="rId230" Type="http://schemas.openxmlformats.org/officeDocument/2006/relationships/hyperlink" Target="https://www.slickcharts.com/symbol/OKE" TargetMode="External"/><Relationship Id="rId251" Type="http://schemas.openxmlformats.org/officeDocument/2006/relationships/hyperlink" Target="https://www.slickcharts.com/symbol/CTVA" TargetMode="External"/><Relationship Id="rId25" Type="http://schemas.openxmlformats.org/officeDocument/2006/relationships/hyperlink" Target="https://www.slickcharts.com/symbol/NFLX" TargetMode="External"/><Relationship Id="rId46" Type="http://schemas.openxmlformats.org/officeDocument/2006/relationships/hyperlink" Target="https://www.slickcharts.com/symbol/KO" TargetMode="External"/><Relationship Id="rId67" Type="http://schemas.openxmlformats.org/officeDocument/2006/relationships/hyperlink" Target="https://www.slickcharts.com/symbol/IBM" TargetMode="External"/><Relationship Id="rId272" Type="http://schemas.openxmlformats.org/officeDocument/2006/relationships/hyperlink" Target="https://www.slickcharts.com/symbol/STZ" TargetMode="External"/><Relationship Id="rId293" Type="http://schemas.openxmlformats.org/officeDocument/2006/relationships/hyperlink" Target="https://www.slickcharts.com/symbol/WBD" TargetMode="External"/><Relationship Id="rId307" Type="http://schemas.openxmlformats.org/officeDocument/2006/relationships/hyperlink" Target="https://www.slickcharts.com/symbol/PARA" TargetMode="External"/><Relationship Id="rId88" Type="http://schemas.openxmlformats.org/officeDocument/2006/relationships/hyperlink" Target="https://www.slickcharts.com/symbol/INTU" TargetMode="External"/><Relationship Id="rId111" Type="http://schemas.openxmlformats.org/officeDocument/2006/relationships/hyperlink" Target="https://www.slickcharts.com/symbol/CAT" TargetMode="External"/><Relationship Id="rId132" Type="http://schemas.openxmlformats.org/officeDocument/2006/relationships/hyperlink" Target="https://www.slickcharts.com/symbol/UNP" TargetMode="External"/><Relationship Id="rId153" Type="http://schemas.openxmlformats.org/officeDocument/2006/relationships/hyperlink" Target="https://www.slickcharts.com/symbol/MMC" TargetMode="External"/><Relationship Id="rId174" Type="http://schemas.openxmlformats.org/officeDocument/2006/relationships/hyperlink" Target="https://www.slickcharts.com/symbol/DUK" TargetMode="External"/><Relationship Id="rId195" Type="http://schemas.openxmlformats.org/officeDocument/2006/relationships/hyperlink" Target="https://www.slickcharts.com/symbol/CEG" TargetMode="External"/><Relationship Id="rId209" Type="http://schemas.openxmlformats.org/officeDocument/2006/relationships/hyperlink" Target="https://www.slickcharts.com/symbol/NKE" TargetMode="External"/><Relationship Id="rId220" Type="http://schemas.openxmlformats.org/officeDocument/2006/relationships/hyperlink" Target="https://www.slickcharts.com/symbol/AZO" TargetMode="External"/><Relationship Id="rId241" Type="http://schemas.openxmlformats.org/officeDocument/2006/relationships/hyperlink" Target="https://www.slickcharts.com/symbol/VST" TargetMode="External"/><Relationship Id="rId15" Type="http://schemas.openxmlformats.org/officeDocument/2006/relationships/hyperlink" Target="https://www.slickcharts.com/symbol/AVGO" TargetMode="External"/><Relationship Id="rId36" Type="http://schemas.openxmlformats.org/officeDocument/2006/relationships/hyperlink" Target="https://www.slickcharts.com/symbol/PG" TargetMode="External"/><Relationship Id="rId57" Type="http://schemas.openxmlformats.org/officeDocument/2006/relationships/hyperlink" Target="https://www.slickcharts.com/symbol/ORCL" TargetMode="External"/><Relationship Id="rId262" Type="http://schemas.openxmlformats.org/officeDocument/2006/relationships/hyperlink" Target="https://www.slickcharts.com/symbol/VLO" TargetMode="External"/><Relationship Id="rId283" Type="http://schemas.openxmlformats.org/officeDocument/2006/relationships/hyperlink" Target="https://www.slickcharts.com/symbol/HSY" TargetMode="External"/><Relationship Id="rId78" Type="http://schemas.openxmlformats.org/officeDocument/2006/relationships/hyperlink" Target="https://www.slickcharts.com/symbol/NOW" TargetMode="External"/><Relationship Id="rId99" Type="http://schemas.openxmlformats.org/officeDocument/2006/relationships/hyperlink" Target="https://www.slickcharts.com/symbol/ADBE" TargetMode="External"/><Relationship Id="rId101" Type="http://schemas.openxmlformats.org/officeDocument/2006/relationships/hyperlink" Target="https://www.slickcharts.com/symbol/PGR" TargetMode="External"/><Relationship Id="rId122" Type="http://schemas.openxmlformats.org/officeDocument/2006/relationships/hyperlink" Target="https://www.slickcharts.com/symbol/BA" TargetMode="External"/><Relationship Id="rId143" Type="http://schemas.openxmlformats.org/officeDocument/2006/relationships/hyperlink" Target="https://www.slickcharts.com/symbol/LOW" TargetMode="External"/><Relationship Id="rId164" Type="http://schemas.openxmlformats.org/officeDocument/2006/relationships/hyperlink" Target="https://www.slickcharts.com/symbol/FI" TargetMode="External"/><Relationship Id="rId185" Type="http://schemas.openxmlformats.org/officeDocument/2006/relationships/hyperlink" Target="https://www.slickcharts.com/symbol/WM" TargetMode="External"/><Relationship Id="rId9" Type="http://schemas.openxmlformats.org/officeDocument/2006/relationships/hyperlink" Target="https://www.slickcharts.com/symbol/META" TargetMode="External"/><Relationship Id="rId210" Type="http://schemas.openxmlformats.org/officeDocument/2006/relationships/hyperlink" Target="https://www.slickcharts.com/symbol/NKE" TargetMode="External"/><Relationship Id="rId26" Type="http://schemas.openxmlformats.org/officeDocument/2006/relationships/hyperlink" Target="https://www.slickcharts.com/symbol/NFLX" TargetMode="External"/><Relationship Id="rId231" Type="http://schemas.openxmlformats.org/officeDocument/2006/relationships/hyperlink" Target="https://www.slickcharts.com/symbol/SRE" TargetMode="External"/><Relationship Id="rId252" Type="http://schemas.openxmlformats.org/officeDocument/2006/relationships/hyperlink" Target="https://www.slickcharts.com/symbol/CTVA" TargetMode="External"/><Relationship Id="rId273" Type="http://schemas.openxmlformats.org/officeDocument/2006/relationships/hyperlink" Target="https://www.slickcharts.com/symbol/DD" TargetMode="External"/><Relationship Id="rId294" Type="http://schemas.openxmlformats.org/officeDocument/2006/relationships/hyperlink" Target="https://www.slickcharts.com/symbol/WBD" TargetMode="External"/><Relationship Id="rId308" Type="http://schemas.openxmlformats.org/officeDocument/2006/relationships/hyperlink" Target="https://www.slickcharts.com/symbol/PARA" TargetMode="External"/><Relationship Id="rId47" Type="http://schemas.openxmlformats.org/officeDocument/2006/relationships/hyperlink" Target="https://www.slickcharts.com/symbol/BAC" TargetMode="External"/><Relationship Id="rId68" Type="http://schemas.openxmlformats.org/officeDocument/2006/relationships/hyperlink" Target="https://www.slickcharts.com/symbol/IBM" TargetMode="External"/><Relationship Id="rId89" Type="http://schemas.openxmlformats.org/officeDocument/2006/relationships/hyperlink" Target="https://www.slickcharts.com/symbol/GS" TargetMode="External"/><Relationship Id="rId112" Type="http://schemas.openxmlformats.org/officeDocument/2006/relationships/hyperlink" Target="https://www.slickcharts.com/symbol/CAT" TargetMode="External"/><Relationship Id="rId133" Type="http://schemas.openxmlformats.org/officeDocument/2006/relationships/hyperlink" Target="https://www.slickcharts.com/symbol/GILD" TargetMode="External"/><Relationship Id="rId154" Type="http://schemas.openxmlformats.org/officeDocument/2006/relationships/hyperlink" Target="https://www.slickcharts.com/symbol/MMC" TargetMode="External"/><Relationship Id="rId175" Type="http://schemas.openxmlformats.org/officeDocument/2006/relationships/hyperlink" Target="https://www.slickcharts.com/symbol/SBUX" TargetMode="External"/><Relationship Id="rId196" Type="http://schemas.openxmlformats.org/officeDocument/2006/relationships/hyperlink" Target="https://www.slickcharts.com/symbol/CEG" TargetMode="External"/><Relationship Id="rId200" Type="http://schemas.openxmlformats.org/officeDocument/2006/relationships/hyperlink" Target="https://www.slickcharts.com/symbol/CTAS" TargetMode="External"/><Relationship Id="rId16" Type="http://schemas.openxmlformats.org/officeDocument/2006/relationships/hyperlink" Target="https://www.slickcharts.com/symbol/AVGO" TargetMode="External"/><Relationship Id="rId221" Type="http://schemas.openxmlformats.org/officeDocument/2006/relationships/hyperlink" Target="https://www.slickcharts.com/symbol/APD" TargetMode="External"/><Relationship Id="rId242" Type="http://schemas.openxmlformats.org/officeDocument/2006/relationships/hyperlink" Target="https://www.slickcharts.com/symbol/VST" TargetMode="External"/><Relationship Id="rId263" Type="http://schemas.openxmlformats.org/officeDocument/2006/relationships/hyperlink" Target="https://www.slickcharts.com/symbol/HES" TargetMode="External"/><Relationship Id="rId284" Type="http://schemas.openxmlformats.org/officeDocument/2006/relationships/hyperlink" Target="https://www.slickcharts.com/symbol/HSY" TargetMode="External"/><Relationship Id="rId37" Type="http://schemas.openxmlformats.org/officeDocument/2006/relationships/hyperlink" Target="https://www.slickcharts.com/symbol/JNJ" TargetMode="External"/><Relationship Id="rId58" Type="http://schemas.openxmlformats.org/officeDocument/2006/relationships/hyperlink" Target="https://www.slickcharts.com/symbol/ORCL" TargetMode="External"/><Relationship Id="rId79" Type="http://schemas.openxmlformats.org/officeDocument/2006/relationships/hyperlink" Target="https://www.slickcharts.com/symbol/ACN" TargetMode="External"/><Relationship Id="rId102" Type="http://schemas.openxmlformats.org/officeDocument/2006/relationships/hyperlink" Target="https://www.slickcharts.com/symbol/PGR" TargetMode="External"/><Relationship Id="rId123" Type="http://schemas.openxmlformats.org/officeDocument/2006/relationships/hyperlink" Target="https://www.slickcharts.com/symbol/HON" TargetMode="External"/><Relationship Id="rId144" Type="http://schemas.openxmlformats.org/officeDocument/2006/relationships/hyperlink" Target="https://www.slickcharts.com/symbol/LOW" TargetMode="External"/><Relationship Id="rId90" Type="http://schemas.openxmlformats.org/officeDocument/2006/relationships/hyperlink" Target="https://www.slickcharts.com/symbol/GS" TargetMode="External"/><Relationship Id="rId165" Type="http://schemas.openxmlformats.org/officeDocument/2006/relationships/hyperlink" Target="https://www.slickcharts.com/symbol/BMY" TargetMode="External"/><Relationship Id="rId186" Type="http://schemas.openxmlformats.org/officeDocument/2006/relationships/hyperlink" Target="https://www.slickcharts.com/symbol/WM" TargetMode="External"/><Relationship Id="rId211" Type="http://schemas.openxmlformats.org/officeDocument/2006/relationships/hyperlink" Target="https://www.slickcharts.com/symbol/DASH" TargetMode="External"/><Relationship Id="rId232" Type="http://schemas.openxmlformats.org/officeDocument/2006/relationships/hyperlink" Target="https://www.slickcharts.com/symbol/SRE" TargetMode="External"/><Relationship Id="rId253" Type="http://schemas.openxmlformats.org/officeDocument/2006/relationships/hyperlink" Target="https://www.slickcharts.com/symbol/MNST" TargetMode="External"/><Relationship Id="rId274" Type="http://schemas.openxmlformats.org/officeDocument/2006/relationships/hyperlink" Target="https://www.slickcharts.com/symbol/DD" TargetMode="External"/><Relationship Id="rId295" Type="http://schemas.openxmlformats.org/officeDocument/2006/relationships/hyperlink" Target="https://www.slickcharts.com/symbol/CLX" TargetMode="External"/><Relationship Id="rId309" Type="http://schemas.openxmlformats.org/officeDocument/2006/relationships/hyperlink" Target="https://www.slickcharts.com/symbol/FOX" TargetMode="External"/><Relationship Id="rId27" Type="http://schemas.openxmlformats.org/officeDocument/2006/relationships/hyperlink" Target="https://www.slickcharts.com/symbol/XOM" TargetMode="External"/><Relationship Id="rId48" Type="http://schemas.openxmlformats.org/officeDocument/2006/relationships/hyperlink" Target="https://www.slickcharts.com/symbol/BAC" TargetMode="External"/><Relationship Id="rId69" Type="http://schemas.openxmlformats.org/officeDocument/2006/relationships/hyperlink" Target="https://www.slickcharts.com/symbol/GE" TargetMode="External"/><Relationship Id="rId113" Type="http://schemas.openxmlformats.org/officeDocument/2006/relationships/hyperlink" Target="https://www.slickcharts.com/symbol/AXP" TargetMode="External"/><Relationship Id="rId134" Type="http://schemas.openxmlformats.org/officeDocument/2006/relationships/hyperlink" Target="https://www.slickcharts.com/symbol/GILD" TargetMode="External"/><Relationship Id="rId80" Type="http://schemas.openxmlformats.org/officeDocument/2006/relationships/hyperlink" Target="https://www.slickcharts.com/symbol/ACN" TargetMode="External"/><Relationship Id="rId155" Type="http://schemas.openxmlformats.org/officeDocument/2006/relationships/hyperlink" Target="https://www.slickcharts.com/symbol/MDT" TargetMode="External"/><Relationship Id="rId176" Type="http://schemas.openxmlformats.org/officeDocument/2006/relationships/hyperlink" Target="https://www.slickcharts.com/symbol/SBUX" TargetMode="External"/><Relationship Id="rId197" Type="http://schemas.openxmlformats.org/officeDocument/2006/relationships/hyperlink" Target="https://www.slickcharts.com/symbol/CL" TargetMode="External"/><Relationship Id="rId201" Type="http://schemas.openxmlformats.org/officeDocument/2006/relationships/hyperlink" Target="https://www.slickcharts.com/symbol/WMB" TargetMode="External"/><Relationship Id="rId222" Type="http://schemas.openxmlformats.org/officeDocument/2006/relationships/hyperlink" Target="https://www.slickcharts.com/symbol/APD" TargetMode="External"/><Relationship Id="rId243" Type="http://schemas.openxmlformats.org/officeDocument/2006/relationships/hyperlink" Target="https://www.slickcharts.com/symbol/D" TargetMode="External"/><Relationship Id="rId264" Type="http://schemas.openxmlformats.org/officeDocument/2006/relationships/hyperlink" Target="https://www.slickcharts.com/symbol/HES" TargetMode="External"/><Relationship Id="rId285" Type="http://schemas.openxmlformats.org/officeDocument/2006/relationships/hyperlink" Target="https://www.slickcharts.com/symbol/CHD" TargetMode="External"/><Relationship Id="rId17" Type="http://schemas.openxmlformats.org/officeDocument/2006/relationships/hyperlink" Target="https://www.slickcharts.com/symbol/TSLA" TargetMode="External"/><Relationship Id="rId38" Type="http://schemas.openxmlformats.org/officeDocument/2006/relationships/hyperlink" Target="https://www.slickcharts.com/symbol/JNJ" TargetMode="External"/><Relationship Id="rId59" Type="http://schemas.openxmlformats.org/officeDocument/2006/relationships/hyperlink" Target="https://www.slickcharts.com/symbol/CSCO" TargetMode="External"/><Relationship Id="rId103" Type="http://schemas.openxmlformats.org/officeDocument/2006/relationships/hyperlink" Target="https://www.slickcharts.com/symbol/TMO" TargetMode="External"/><Relationship Id="rId124" Type="http://schemas.openxmlformats.org/officeDocument/2006/relationships/hyperlink" Target="https://www.slickcharts.com/symbol/HON" TargetMode="External"/><Relationship Id="rId310" Type="http://schemas.openxmlformats.org/officeDocument/2006/relationships/hyperlink" Target="https://www.slickcharts.com/symbol/FOX" TargetMode="External"/><Relationship Id="rId70" Type="http://schemas.openxmlformats.org/officeDocument/2006/relationships/hyperlink" Target="https://www.slickcharts.com/symbol/GE" TargetMode="External"/><Relationship Id="rId91" Type="http://schemas.openxmlformats.org/officeDocument/2006/relationships/hyperlink" Target="https://www.slickcharts.com/symbol/RTX" TargetMode="External"/><Relationship Id="rId145" Type="http://schemas.openxmlformats.org/officeDocument/2006/relationships/hyperlink" Target="https://www.slickcharts.com/symbol/DE" TargetMode="External"/><Relationship Id="rId166" Type="http://schemas.openxmlformats.org/officeDocument/2006/relationships/hyperlink" Target="https://www.slickcharts.com/symbol/BMY" TargetMode="External"/><Relationship Id="rId187" Type="http://schemas.openxmlformats.org/officeDocument/2006/relationships/hyperlink" Target="https://www.slickcharts.com/symbol/SHW" TargetMode="External"/><Relationship Id="rId1" Type="http://schemas.openxmlformats.org/officeDocument/2006/relationships/hyperlink" Target="https://www.slickcharts.com/symbol/AAPL" TargetMode="External"/><Relationship Id="rId212" Type="http://schemas.openxmlformats.org/officeDocument/2006/relationships/hyperlink" Target="https://www.slickcharts.com/symbol/DASH" TargetMode="External"/><Relationship Id="rId233" Type="http://schemas.openxmlformats.org/officeDocument/2006/relationships/hyperlink" Target="https://www.slickcharts.com/symbol/SLB" TargetMode="External"/><Relationship Id="rId254" Type="http://schemas.openxmlformats.org/officeDocument/2006/relationships/hyperlink" Target="https://www.slickcharts.com/symbol/MNST" TargetMode="External"/><Relationship Id="rId28" Type="http://schemas.openxmlformats.org/officeDocument/2006/relationships/hyperlink" Target="https://www.slickcharts.com/symbol/XOM" TargetMode="External"/><Relationship Id="rId49" Type="http://schemas.openxmlformats.org/officeDocument/2006/relationships/hyperlink" Target="https://www.slickcharts.com/symbol/PM" TargetMode="External"/><Relationship Id="rId114" Type="http://schemas.openxmlformats.org/officeDocument/2006/relationships/hyperlink" Target="https://www.slickcharts.com/symbol/AXP" TargetMode="External"/><Relationship Id="rId275" Type="http://schemas.openxmlformats.org/officeDocument/2006/relationships/hyperlink" Target="https://www.slickcharts.com/symbol/OXY" TargetMode="External"/><Relationship Id="rId296" Type="http://schemas.openxmlformats.org/officeDocument/2006/relationships/hyperlink" Target="https://www.slickcharts.com/symbol/CLX" TargetMode="External"/><Relationship Id="rId300" Type="http://schemas.openxmlformats.org/officeDocument/2006/relationships/hyperlink" Target="https://www.slickcharts.com/symbol/FOXA" TargetMode="External"/><Relationship Id="rId60" Type="http://schemas.openxmlformats.org/officeDocument/2006/relationships/hyperlink" Target="https://www.slickcharts.com/symbol/CSCO" TargetMode="External"/><Relationship Id="rId81" Type="http://schemas.openxmlformats.org/officeDocument/2006/relationships/hyperlink" Target="https://www.slickcharts.com/symbol/ISRG" TargetMode="External"/><Relationship Id="rId135" Type="http://schemas.openxmlformats.org/officeDocument/2006/relationships/hyperlink" Target="https://www.slickcharts.com/symbol/SYK" TargetMode="External"/><Relationship Id="rId156" Type="http://schemas.openxmlformats.org/officeDocument/2006/relationships/hyperlink" Target="https://www.slickcharts.com/symbol/MDT" TargetMode="External"/><Relationship Id="rId177" Type="http://schemas.openxmlformats.org/officeDocument/2006/relationships/hyperlink" Target="https://www.slickcharts.com/symbol/LRCX" TargetMode="External"/><Relationship Id="rId198" Type="http://schemas.openxmlformats.org/officeDocument/2006/relationships/hyperlink" Target="https://www.slickcharts.com/symbol/CL" TargetMode="External"/><Relationship Id="rId202" Type="http://schemas.openxmlformats.org/officeDocument/2006/relationships/hyperlink" Target="https://www.slickcharts.com/symbol/WMB" TargetMode="External"/><Relationship Id="rId223" Type="http://schemas.openxmlformats.org/officeDocument/2006/relationships/hyperlink" Target="https://www.slickcharts.com/symbol/AEP" TargetMode="External"/><Relationship Id="rId244" Type="http://schemas.openxmlformats.org/officeDocument/2006/relationships/hyperlink" Target="https://www.slickcharts.com/symbol/D" TargetMode="External"/><Relationship Id="rId18" Type="http://schemas.openxmlformats.org/officeDocument/2006/relationships/hyperlink" Target="https://www.slickcharts.com/symbol/TSLA" TargetMode="External"/><Relationship Id="rId39" Type="http://schemas.openxmlformats.org/officeDocument/2006/relationships/hyperlink" Target="https://www.slickcharts.com/symbol/UNH" TargetMode="External"/><Relationship Id="rId265" Type="http://schemas.openxmlformats.org/officeDocument/2006/relationships/hyperlink" Target="https://www.slickcharts.com/symbol/GIS" TargetMode="External"/><Relationship Id="rId286" Type="http://schemas.openxmlformats.org/officeDocument/2006/relationships/hyperlink" Target="https://www.slickcharts.com/symbol/CHD" TargetMode="External"/><Relationship Id="rId50" Type="http://schemas.openxmlformats.org/officeDocument/2006/relationships/hyperlink" Target="https://www.slickcharts.com/symbol/PM" TargetMode="External"/><Relationship Id="rId104" Type="http://schemas.openxmlformats.org/officeDocument/2006/relationships/hyperlink" Target="https://www.slickcharts.com/symbol/TMO" TargetMode="External"/><Relationship Id="rId125" Type="http://schemas.openxmlformats.org/officeDocument/2006/relationships/hyperlink" Target="https://www.slickcharts.com/symbol/NEE" TargetMode="External"/><Relationship Id="rId146" Type="http://schemas.openxmlformats.org/officeDocument/2006/relationships/hyperlink" Target="https://www.slickcharts.com/symbol/DE" TargetMode="External"/><Relationship Id="rId167" Type="http://schemas.openxmlformats.org/officeDocument/2006/relationships/hyperlink" Target="https://www.slickcharts.com/symbol/MO" TargetMode="External"/><Relationship Id="rId188" Type="http://schemas.openxmlformats.org/officeDocument/2006/relationships/hyperlink" Target="https://www.slickcharts.com/symbol/SHW" TargetMode="External"/><Relationship Id="rId311" Type="http://schemas.openxmlformats.org/officeDocument/2006/relationships/printerSettings" Target="../printerSettings/printerSettings2.bin"/><Relationship Id="rId71" Type="http://schemas.openxmlformats.org/officeDocument/2006/relationships/hyperlink" Target="https://www.slickcharts.com/symbol/LIN" TargetMode="External"/><Relationship Id="rId92" Type="http://schemas.openxmlformats.org/officeDocument/2006/relationships/hyperlink" Target="https://www.slickcharts.com/symbol/RTX" TargetMode="External"/><Relationship Id="rId213" Type="http://schemas.openxmlformats.org/officeDocument/2006/relationships/hyperlink" Target="https://www.slickcharts.com/symbol/ITW" TargetMode="External"/><Relationship Id="rId234" Type="http://schemas.openxmlformats.org/officeDocument/2006/relationships/hyperlink" Target="https://www.slickcharts.com/symbol/SLB" TargetMode="External"/><Relationship Id="rId2" Type="http://schemas.openxmlformats.org/officeDocument/2006/relationships/hyperlink" Target="https://www.slickcharts.com/symbol/AAPL" TargetMode="External"/><Relationship Id="rId29" Type="http://schemas.openxmlformats.org/officeDocument/2006/relationships/hyperlink" Target="https://www.slickcharts.com/symbol/MA" TargetMode="External"/><Relationship Id="rId255" Type="http://schemas.openxmlformats.org/officeDocument/2006/relationships/hyperlink" Target="https://www.slickcharts.com/symbol/KDP" TargetMode="External"/><Relationship Id="rId276" Type="http://schemas.openxmlformats.org/officeDocument/2006/relationships/hyperlink" Target="https://www.slickcharts.com/symbol/OXY" TargetMode="External"/><Relationship Id="rId297" Type="http://schemas.openxmlformats.org/officeDocument/2006/relationships/hyperlink" Target="https://www.slickcharts.com/symbol/APTV" TargetMode="External"/><Relationship Id="rId40" Type="http://schemas.openxmlformats.org/officeDocument/2006/relationships/hyperlink" Target="https://www.slickcharts.com/symbol/UNH" TargetMode="External"/><Relationship Id="rId115" Type="http://schemas.openxmlformats.org/officeDocument/2006/relationships/hyperlink" Target="https://www.slickcharts.com/symbol/MS" TargetMode="External"/><Relationship Id="rId136" Type="http://schemas.openxmlformats.org/officeDocument/2006/relationships/hyperlink" Target="https://www.slickcharts.com/symbol/SYK" TargetMode="External"/><Relationship Id="rId157" Type="http://schemas.openxmlformats.org/officeDocument/2006/relationships/hyperlink" Target="https://www.slickcharts.com/symbol/CB" TargetMode="External"/><Relationship Id="rId178" Type="http://schemas.openxmlformats.org/officeDocument/2006/relationships/hyperlink" Target="https://www.slickcharts.com/symbol/LRCX" TargetMode="External"/><Relationship Id="rId301" Type="http://schemas.openxmlformats.org/officeDocument/2006/relationships/hyperlink" Target="https://www.slickcharts.com/symbol/MOS" TargetMode="External"/><Relationship Id="rId61" Type="http://schemas.openxmlformats.org/officeDocument/2006/relationships/hyperlink" Target="https://www.slickcharts.com/symbol/CVX" TargetMode="External"/><Relationship Id="rId82" Type="http://schemas.openxmlformats.org/officeDocument/2006/relationships/hyperlink" Target="https://www.slickcharts.com/symbol/ISRG" TargetMode="External"/><Relationship Id="rId199" Type="http://schemas.openxmlformats.org/officeDocument/2006/relationships/hyperlink" Target="https://www.slickcharts.com/symbol/CTAS" TargetMode="External"/><Relationship Id="rId203" Type="http://schemas.openxmlformats.org/officeDocument/2006/relationships/hyperlink" Target="https://www.slickcharts.com/symbol/UPS" TargetMode="External"/><Relationship Id="rId19" Type="http://schemas.openxmlformats.org/officeDocument/2006/relationships/hyperlink" Target="https://www.slickcharts.com/symbol/JPM" TargetMode="External"/><Relationship Id="rId224" Type="http://schemas.openxmlformats.org/officeDocument/2006/relationships/hyperlink" Target="https://www.slickcharts.com/symbol/AEP" TargetMode="External"/><Relationship Id="rId245" Type="http://schemas.openxmlformats.org/officeDocument/2006/relationships/hyperlink" Target="https://www.slickcharts.com/symbol/KVUE" TargetMode="External"/><Relationship Id="rId266" Type="http://schemas.openxmlformats.org/officeDocument/2006/relationships/hyperlink" Target="https://www.slickcharts.com/symbol/GIS" TargetMode="External"/><Relationship Id="rId287" Type="http://schemas.openxmlformats.org/officeDocument/2006/relationships/hyperlink" Target="https://www.slickcharts.com/symbol/DOW" TargetMode="External"/><Relationship Id="rId30" Type="http://schemas.openxmlformats.org/officeDocument/2006/relationships/hyperlink" Target="https://www.slickcharts.com/symbol/MA" TargetMode="External"/><Relationship Id="rId105" Type="http://schemas.openxmlformats.org/officeDocument/2006/relationships/hyperlink" Target="https://www.slickcharts.com/symbol/SPGI" TargetMode="External"/><Relationship Id="rId126" Type="http://schemas.openxmlformats.org/officeDocument/2006/relationships/hyperlink" Target="https://www.slickcharts.com/symbol/NEE" TargetMode="External"/><Relationship Id="rId147" Type="http://schemas.openxmlformats.org/officeDocument/2006/relationships/hyperlink" Target="https://www.slickcharts.com/symbol/ETN" TargetMode="External"/><Relationship Id="rId168" Type="http://schemas.openxmlformats.org/officeDocument/2006/relationships/hyperlink" Target="https://www.slickcharts.com/symbol/MO" TargetMode="External"/><Relationship Id="rId312" Type="http://schemas.openxmlformats.org/officeDocument/2006/relationships/drawing" Target="../drawings/drawing2.xml"/><Relationship Id="rId51" Type="http://schemas.openxmlformats.org/officeDocument/2006/relationships/hyperlink" Target="https://www.slickcharts.com/symbol/CRM" TargetMode="External"/><Relationship Id="rId72" Type="http://schemas.openxmlformats.org/officeDocument/2006/relationships/hyperlink" Target="https://www.slickcharts.com/symbol/LIN" TargetMode="External"/><Relationship Id="rId93" Type="http://schemas.openxmlformats.org/officeDocument/2006/relationships/hyperlink" Target="https://www.slickcharts.com/symbol/UBER" TargetMode="External"/><Relationship Id="rId189" Type="http://schemas.openxmlformats.org/officeDocument/2006/relationships/hyperlink" Target="https://www.slickcharts.com/symbol/ORLY" TargetMode="External"/><Relationship Id="rId3" Type="http://schemas.openxmlformats.org/officeDocument/2006/relationships/hyperlink" Target="https://www.slickcharts.com/symbol/MSFT" TargetMode="External"/><Relationship Id="rId214" Type="http://schemas.openxmlformats.org/officeDocument/2006/relationships/hyperlink" Target="https://www.slickcharts.com/symbol/ITW" TargetMode="External"/><Relationship Id="rId235" Type="http://schemas.openxmlformats.org/officeDocument/2006/relationships/hyperlink" Target="https://www.slickcharts.com/symbol/PCAR" TargetMode="External"/><Relationship Id="rId256" Type="http://schemas.openxmlformats.org/officeDocument/2006/relationships/hyperlink" Target="https://www.slickcharts.com/symbol/KDP" TargetMode="External"/><Relationship Id="rId277" Type="http://schemas.openxmlformats.org/officeDocument/2006/relationships/hyperlink" Target="https://www.slickcharts.com/symbol/PPG" TargetMode="External"/><Relationship Id="rId298" Type="http://schemas.openxmlformats.org/officeDocument/2006/relationships/hyperlink" Target="https://www.slickcharts.com/symbol/APTV" TargetMode="External"/><Relationship Id="rId116" Type="http://schemas.openxmlformats.org/officeDocument/2006/relationships/hyperlink" Target="https://www.slickcharts.com/symbol/MS" TargetMode="External"/><Relationship Id="rId137" Type="http://schemas.openxmlformats.org/officeDocument/2006/relationships/hyperlink" Target="https://www.slickcharts.com/symbol/VRTX" TargetMode="External"/><Relationship Id="rId158" Type="http://schemas.openxmlformats.org/officeDocument/2006/relationships/hyperlink" Target="https://www.slickcharts.com/symbol/CB" TargetMode="External"/><Relationship Id="rId302" Type="http://schemas.openxmlformats.org/officeDocument/2006/relationships/hyperlink" Target="https://www.slickcharts.com/symbol/MOS" TargetMode="External"/><Relationship Id="rId20" Type="http://schemas.openxmlformats.org/officeDocument/2006/relationships/hyperlink" Target="https://www.slickcharts.com/symbol/JPM" TargetMode="External"/><Relationship Id="rId41" Type="http://schemas.openxmlformats.org/officeDocument/2006/relationships/hyperlink" Target="https://www.slickcharts.com/symbol/HD" TargetMode="External"/><Relationship Id="rId62" Type="http://schemas.openxmlformats.org/officeDocument/2006/relationships/hyperlink" Target="https://www.slickcharts.com/symbol/CVX" TargetMode="External"/><Relationship Id="rId83" Type="http://schemas.openxmlformats.org/officeDocument/2006/relationships/hyperlink" Target="https://www.slickcharts.com/symbol/PEP" TargetMode="External"/><Relationship Id="rId179" Type="http://schemas.openxmlformats.org/officeDocument/2006/relationships/hyperlink" Target="https://www.slickcharts.com/symbol/MCK" TargetMode="External"/><Relationship Id="rId190" Type="http://schemas.openxmlformats.org/officeDocument/2006/relationships/hyperlink" Target="https://www.slickcharts.com/symbol/ORLY" TargetMode="External"/><Relationship Id="rId204" Type="http://schemas.openxmlformats.org/officeDocument/2006/relationships/hyperlink" Target="https://www.slickcharts.com/symbol/UPS" TargetMode="External"/><Relationship Id="rId225" Type="http://schemas.openxmlformats.org/officeDocument/2006/relationships/hyperlink" Target="https://www.slickcharts.com/symbol/CPRT" TargetMode="External"/><Relationship Id="rId246" Type="http://schemas.openxmlformats.org/officeDocument/2006/relationships/hyperlink" Target="https://www.slickcharts.com/symbol/KVUE" TargetMode="External"/><Relationship Id="rId267" Type="http://schemas.openxmlformats.org/officeDocument/2006/relationships/hyperlink" Target="https://www.slickcharts.com/symbol/LULU" TargetMode="External"/><Relationship Id="rId288" Type="http://schemas.openxmlformats.org/officeDocument/2006/relationships/hyperlink" Target="https://www.slickcharts.com/symbol/DOW" TargetMode="External"/><Relationship Id="rId106" Type="http://schemas.openxmlformats.org/officeDocument/2006/relationships/hyperlink" Target="https://www.slickcharts.com/symbol/SPGI" TargetMode="External"/><Relationship Id="rId127" Type="http://schemas.openxmlformats.org/officeDocument/2006/relationships/hyperlink" Target="https://www.slickcharts.com/symbol/PFE" TargetMode="External"/><Relationship Id="rId10" Type="http://schemas.openxmlformats.org/officeDocument/2006/relationships/hyperlink" Target="https://www.slickcharts.com/symbol/META" TargetMode="External"/><Relationship Id="rId31" Type="http://schemas.openxmlformats.org/officeDocument/2006/relationships/hyperlink" Target="https://www.slickcharts.com/symbol/COST" TargetMode="External"/><Relationship Id="rId52" Type="http://schemas.openxmlformats.org/officeDocument/2006/relationships/hyperlink" Target="https://www.slickcharts.com/symbol/CRM" TargetMode="External"/><Relationship Id="rId73" Type="http://schemas.openxmlformats.org/officeDocument/2006/relationships/hyperlink" Target="https://www.slickcharts.com/symbol/MRK" TargetMode="External"/><Relationship Id="rId94" Type="http://schemas.openxmlformats.org/officeDocument/2006/relationships/hyperlink" Target="https://www.slickcharts.com/symbol/UBER" TargetMode="External"/><Relationship Id="rId148" Type="http://schemas.openxmlformats.org/officeDocument/2006/relationships/hyperlink" Target="https://www.slickcharts.com/symbol/ETN" TargetMode="External"/><Relationship Id="rId169" Type="http://schemas.openxmlformats.org/officeDocument/2006/relationships/hyperlink" Target="https://www.slickcharts.com/symbol/SO" TargetMode="External"/><Relationship Id="rId4" Type="http://schemas.openxmlformats.org/officeDocument/2006/relationships/hyperlink" Target="https://www.slickcharts.com/symbol/MSFT" TargetMode="External"/><Relationship Id="rId180" Type="http://schemas.openxmlformats.org/officeDocument/2006/relationships/hyperlink" Target="https://www.slickcharts.com/symbol/MCK" TargetMode="External"/><Relationship Id="rId215" Type="http://schemas.openxmlformats.org/officeDocument/2006/relationships/hyperlink" Target="https://www.slickcharts.com/symbol/ECL" TargetMode="External"/><Relationship Id="rId236" Type="http://schemas.openxmlformats.org/officeDocument/2006/relationships/hyperlink" Target="https://www.slickcharts.com/symbol/PCAR" TargetMode="External"/><Relationship Id="rId257" Type="http://schemas.openxmlformats.org/officeDocument/2006/relationships/hyperlink" Target="https://www.slickcharts.com/symbol/F" TargetMode="External"/><Relationship Id="rId278" Type="http://schemas.openxmlformats.org/officeDocument/2006/relationships/hyperlink" Target="https://www.slickcharts.com/symbol/PPG" TargetMode="External"/><Relationship Id="rId303" Type="http://schemas.openxmlformats.org/officeDocument/2006/relationships/hyperlink" Target="https://www.slickcharts.com/symbol/EMN" TargetMode="External"/><Relationship Id="rId42" Type="http://schemas.openxmlformats.org/officeDocument/2006/relationships/hyperlink" Target="https://www.slickcharts.com/symbol/HD" TargetMode="External"/><Relationship Id="rId84" Type="http://schemas.openxmlformats.org/officeDocument/2006/relationships/hyperlink" Target="https://www.slickcharts.com/symbol/PEP" TargetMode="External"/><Relationship Id="rId138" Type="http://schemas.openxmlformats.org/officeDocument/2006/relationships/hyperlink" Target="https://www.slickcharts.com/symbol/VRTX" TargetMode="External"/><Relationship Id="rId191" Type="http://schemas.openxmlformats.org/officeDocument/2006/relationships/hyperlink" Target="https://www.slickcharts.com/symbol/TDG" TargetMode="External"/><Relationship Id="rId205" Type="http://schemas.openxmlformats.org/officeDocument/2006/relationships/hyperlink" Target="https://www.slickcharts.com/symbol/GD" TargetMode="External"/><Relationship Id="rId247" Type="http://schemas.openxmlformats.org/officeDocument/2006/relationships/hyperlink" Target="https://www.slickcharts.com/symbol/MPC" TargetMode="External"/><Relationship Id="rId107" Type="http://schemas.openxmlformats.org/officeDocument/2006/relationships/hyperlink" Target="https://www.slickcharts.com/symbol/AMGN" TargetMode="External"/><Relationship Id="rId289" Type="http://schemas.openxmlformats.org/officeDocument/2006/relationships/hyperlink" Target="https://www.slickcharts.com/symbol/AMCR" TargetMode="External"/><Relationship Id="rId11" Type="http://schemas.openxmlformats.org/officeDocument/2006/relationships/hyperlink" Target="https://www.slickcharts.com/symbol/BRK.B" TargetMode="External"/><Relationship Id="rId53" Type="http://schemas.openxmlformats.org/officeDocument/2006/relationships/hyperlink" Target="https://www.slickcharts.com/symbol/PLTR" TargetMode="External"/><Relationship Id="rId149" Type="http://schemas.openxmlformats.org/officeDocument/2006/relationships/hyperlink" Target="https://www.slickcharts.com/symbol/TMUS" TargetMode="External"/><Relationship Id="rId95" Type="http://schemas.openxmlformats.org/officeDocument/2006/relationships/hyperlink" Target="https://www.slickcharts.com/symbol/BKNG" TargetMode="External"/><Relationship Id="rId160" Type="http://schemas.openxmlformats.org/officeDocument/2006/relationships/hyperlink" Target="https://www.slickcharts.com/symbol/GEV" TargetMode="External"/><Relationship Id="rId216" Type="http://schemas.openxmlformats.org/officeDocument/2006/relationships/hyperlink" Target="https://www.slickcharts.com/symbol/ECL" TargetMode="External"/><Relationship Id="rId258" Type="http://schemas.openxmlformats.org/officeDocument/2006/relationships/hyperlink" Target="https://www.slickcharts.com/symbol/F" TargetMode="External"/><Relationship Id="rId22" Type="http://schemas.openxmlformats.org/officeDocument/2006/relationships/hyperlink" Target="https://www.slickcharts.com/symbol/LLY" TargetMode="External"/><Relationship Id="rId64" Type="http://schemas.openxmlformats.org/officeDocument/2006/relationships/hyperlink" Target="https://www.slickcharts.com/symbol/ABT" TargetMode="External"/><Relationship Id="rId118" Type="http://schemas.openxmlformats.org/officeDocument/2006/relationships/hyperlink" Target="https://www.slickcharts.com/symbol/TJX" TargetMode="External"/><Relationship Id="rId171" Type="http://schemas.openxmlformats.org/officeDocument/2006/relationships/hyperlink" Target="https://www.slickcharts.com/symbol/LMT" TargetMode="External"/><Relationship Id="rId227" Type="http://schemas.openxmlformats.org/officeDocument/2006/relationships/hyperlink" Target="https://www.slickcharts.com/symbol/KMI" TargetMode="External"/><Relationship Id="rId269" Type="http://schemas.openxmlformats.org/officeDocument/2006/relationships/hyperlink" Target="https://www.slickcharts.com/symbol/EQT" TargetMode="External"/><Relationship Id="rId33" Type="http://schemas.openxmlformats.org/officeDocument/2006/relationships/hyperlink" Target="https://www.slickcharts.com/symbol/WMT" TargetMode="External"/><Relationship Id="rId129" Type="http://schemas.openxmlformats.org/officeDocument/2006/relationships/hyperlink" Target="https://www.slickcharts.com/symbol/BLK" TargetMode="External"/><Relationship Id="rId280" Type="http://schemas.openxmlformats.org/officeDocument/2006/relationships/hyperlink" Target="https://www.slickcharts.com/symbol/FANG" TargetMode="External"/><Relationship Id="rId75" Type="http://schemas.openxmlformats.org/officeDocument/2006/relationships/hyperlink" Target="https://www.slickcharts.com/symbol/T" TargetMode="External"/><Relationship Id="rId140" Type="http://schemas.openxmlformats.org/officeDocument/2006/relationships/hyperlink" Target="https://www.slickcharts.com/symbol/C" TargetMode="External"/><Relationship Id="rId182" Type="http://schemas.openxmlformats.org/officeDocument/2006/relationships/hyperlink" Target="https://www.slickcharts.com/symbol/MDLZ" TargetMode="External"/><Relationship Id="rId6" Type="http://schemas.openxmlformats.org/officeDocument/2006/relationships/hyperlink" Target="https://www.slickcharts.com/symbol/NVDA" TargetMode="External"/><Relationship Id="rId238" Type="http://schemas.openxmlformats.org/officeDocument/2006/relationships/hyperlink" Target="https://www.slickcharts.com/symbol/PAYX" TargetMode="External"/><Relationship Id="rId291" Type="http://schemas.openxmlformats.org/officeDocument/2006/relationships/hyperlink" Target="https://www.slickcharts.com/symbol/IFF" TargetMode="External"/><Relationship Id="rId305" Type="http://schemas.openxmlformats.org/officeDocument/2006/relationships/hyperlink" Target="https://www.slickcharts.com/symbol/A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F32C-03B8-4D9F-A6AF-702059785E97}">
  <dimension ref="A1:L493"/>
  <sheetViews>
    <sheetView topLeftCell="A103" zoomScale="85" zoomScaleNormal="85" workbookViewId="0">
      <selection activeCell="F87" sqref="F87"/>
    </sheetView>
  </sheetViews>
  <sheetFormatPr defaultRowHeight="16" x14ac:dyDescent="0.4"/>
  <cols>
    <col min="1" max="1" width="4.26953125" style="2" bestFit="1" customWidth="1"/>
    <col min="2" max="2" width="25.1796875" style="2" customWidth="1"/>
    <col min="3" max="3" width="7.7265625" style="2" bestFit="1" customWidth="1"/>
    <col min="4" max="4" width="7.7265625" style="11" customWidth="1"/>
    <col min="5" max="5" width="9.81640625" style="2" customWidth="1"/>
    <col min="6" max="6" width="13.36328125" style="2" customWidth="1"/>
    <col min="7" max="7" width="7.453125" style="2" bestFit="1" customWidth="1"/>
    <col min="8" max="8" width="9.81640625" style="2" bestFit="1" customWidth="1"/>
    <col min="9" max="9" width="8.7265625" style="16"/>
    <col min="10" max="10" width="12.6328125" style="2" customWidth="1"/>
    <col min="11" max="16384" width="8.7265625" style="2"/>
  </cols>
  <sheetData>
    <row r="1" spans="1:12" ht="17" x14ac:dyDescent="0.45">
      <c r="A1" s="1" t="s">
        <v>0</v>
      </c>
      <c r="B1" s="1" t="s">
        <v>1</v>
      </c>
      <c r="C1" s="1" t="s">
        <v>2</v>
      </c>
      <c r="D1" s="8" t="s">
        <v>471</v>
      </c>
      <c r="E1" s="1" t="s">
        <v>512</v>
      </c>
      <c r="F1" s="2" t="s">
        <v>513</v>
      </c>
      <c r="G1" s="1" t="s">
        <v>3</v>
      </c>
      <c r="H1" s="1" t="s">
        <v>4</v>
      </c>
      <c r="I1" s="14" t="s">
        <v>501</v>
      </c>
      <c r="J1" s="12" t="s">
        <v>502</v>
      </c>
      <c r="K1" s="2" t="s">
        <v>514</v>
      </c>
      <c r="L1" s="2" t="s">
        <v>573</v>
      </c>
    </row>
    <row r="2" spans="1:12" ht="17" x14ac:dyDescent="0.4">
      <c r="A2" s="3">
        <v>1</v>
      </c>
      <c r="B2" s="4" t="s">
        <v>5</v>
      </c>
      <c r="C2" s="5" t="s">
        <v>6</v>
      </c>
      <c r="D2" s="9">
        <v>3571</v>
      </c>
      <c r="E2" s="28">
        <v>6</v>
      </c>
      <c r="F2" s="2" t="str">
        <f>VLOOKUP(E2, I$2:J$13, 2,TRUE)</f>
        <v>BusEq</v>
      </c>
      <c r="G2" s="6">
        <v>6.7400000000000002E-2</v>
      </c>
      <c r="H2" s="7" t="s">
        <v>7</v>
      </c>
      <c r="I2" s="15">
        <v>1</v>
      </c>
      <c r="J2" s="32" t="s">
        <v>503</v>
      </c>
      <c r="K2" s="2">
        <f>COUNTIF(E:E, I2)</f>
        <v>8</v>
      </c>
      <c r="L2" s="2">
        <v>217</v>
      </c>
    </row>
    <row r="3" spans="1:12" ht="17" x14ac:dyDescent="0.4">
      <c r="A3" s="3">
        <v>2</v>
      </c>
      <c r="B3" s="4" t="s">
        <v>8</v>
      </c>
      <c r="C3" s="5" t="s">
        <v>9</v>
      </c>
      <c r="D3" s="10" t="s">
        <v>472</v>
      </c>
      <c r="E3" s="28">
        <v>6</v>
      </c>
      <c r="F3" s="2" t="str">
        <f t="shared" ref="F3:F21" si="0">VLOOKUP(E3, I$2:J$13, 2,TRUE)</f>
        <v>BusEq</v>
      </c>
      <c r="G3" s="6">
        <v>6.6500000000000004E-2</v>
      </c>
      <c r="H3" s="7" t="s">
        <v>10</v>
      </c>
      <c r="I3" s="15">
        <v>2</v>
      </c>
      <c r="J3" s="13" t="s">
        <v>504</v>
      </c>
      <c r="K3" s="2">
        <f>COUNTIF(E:E, I3)</f>
        <v>6</v>
      </c>
    </row>
    <row r="4" spans="1:12" ht="17" x14ac:dyDescent="0.4">
      <c r="A4" s="3">
        <v>3</v>
      </c>
      <c r="B4" s="4" t="s">
        <v>11</v>
      </c>
      <c r="C4" s="5" t="s">
        <v>12</v>
      </c>
      <c r="D4" s="10" t="s">
        <v>473</v>
      </c>
      <c r="E4" s="28">
        <v>6</v>
      </c>
      <c r="F4" s="2" t="str">
        <f t="shared" si="0"/>
        <v>BusEq</v>
      </c>
      <c r="G4" s="6">
        <v>5.7500000000000002E-2</v>
      </c>
      <c r="H4" s="7" t="s">
        <v>13</v>
      </c>
      <c r="I4" s="15">
        <v>3</v>
      </c>
      <c r="J4" s="32" t="s">
        <v>505</v>
      </c>
      <c r="K4" s="2">
        <f>COUNTIF(E:E, I4)</f>
        <v>8</v>
      </c>
      <c r="L4" s="2">
        <v>89</v>
      </c>
    </row>
    <row r="5" spans="1:12" ht="17" x14ac:dyDescent="0.4">
      <c r="A5" s="3">
        <v>4</v>
      </c>
      <c r="B5" s="4" t="s">
        <v>14</v>
      </c>
      <c r="C5" s="5" t="s">
        <v>15</v>
      </c>
      <c r="D5" s="10" t="s">
        <v>474</v>
      </c>
      <c r="E5" s="28">
        <v>9</v>
      </c>
      <c r="F5" s="2" t="str">
        <f t="shared" si="0"/>
        <v>Shops</v>
      </c>
      <c r="G5" s="6">
        <v>3.7699999999999997E-2</v>
      </c>
      <c r="H5" s="7" t="s">
        <v>16</v>
      </c>
      <c r="I5" s="15">
        <v>4</v>
      </c>
      <c r="J5" s="32" t="s">
        <v>506</v>
      </c>
      <c r="K5" s="2">
        <f>COUNTIF(E:E, I5)</f>
        <v>8</v>
      </c>
      <c r="L5" s="2">
        <v>236</v>
      </c>
    </row>
    <row r="6" spans="1:12" ht="17" x14ac:dyDescent="0.4">
      <c r="A6" s="3">
        <v>5</v>
      </c>
      <c r="B6" s="4" t="s">
        <v>17</v>
      </c>
      <c r="C6" s="5" t="s">
        <v>18</v>
      </c>
      <c r="D6" s="10" t="s">
        <v>476</v>
      </c>
      <c r="E6" s="28">
        <v>6</v>
      </c>
      <c r="F6" s="2" t="str">
        <f t="shared" si="0"/>
        <v>BusEq</v>
      </c>
      <c r="G6" s="6">
        <v>2.64E-2</v>
      </c>
      <c r="H6" s="7" t="s">
        <v>19</v>
      </c>
      <c r="I6" s="15">
        <v>5</v>
      </c>
      <c r="J6" s="32" t="s">
        <v>557</v>
      </c>
      <c r="K6" s="2">
        <f>COUNTIF(E:E, I6)</f>
        <v>8</v>
      </c>
      <c r="L6" s="2">
        <v>300</v>
      </c>
    </row>
    <row r="7" spans="1:12" ht="17" x14ac:dyDescent="0.4">
      <c r="A7" s="3">
        <v>6</v>
      </c>
      <c r="B7" s="4" t="s">
        <v>20</v>
      </c>
      <c r="C7" s="5" t="s">
        <v>21</v>
      </c>
      <c r="D7" s="10" t="s">
        <v>477</v>
      </c>
      <c r="E7" s="28">
        <v>11</v>
      </c>
      <c r="F7" s="2" t="str">
        <f t="shared" si="0"/>
        <v>Money</v>
      </c>
      <c r="G7" s="6">
        <v>2.0400000000000001E-2</v>
      </c>
      <c r="H7" s="7" t="s">
        <v>22</v>
      </c>
      <c r="I7" s="15">
        <v>6</v>
      </c>
      <c r="J7" s="32" t="s">
        <v>470</v>
      </c>
      <c r="K7" s="2">
        <f>COUNTIF(E:E, I7)</f>
        <v>8</v>
      </c>
      <c r="L7" s="2">
        <v>32</v>
      </c>
    </row>
    <row r="8" spans="1:12" ht="17" x14ac:dyDescent="0.4">
      <c r="A8" s="3">
        <v>7</v>
      </c>
      <c r="B8" s="4" t="s">
        <v>23</v>
      </c>
      <c r="C8" s="5" t="s">
        <v>24</v>
      </c>
      <c r="D8" s="10" t="s">
        <v>476</v>
      </c>
      <c r="E8" s="28">
        <v>6</v>
      </c>
      <c r="F8" s="2" t="str">
        <f t="shared" si="0"/>
        <v>BusEq</v>
      </c>
      <c r="G8" s="6">
        <v>1.9800000000000002E-2</v>
      </c>
      <c r="H8" s="7" t="s">
        <v>25</v>
      </c>
      <c r="I8" s="15">
        <v>7</v>
      </c>
      <c r="J8" s="32" t="s">
        <v>507</v>
      </c>
      <c r="K8" s="2">
        <f>COUNTIF(E:E, I8)</f>
        <v>8</v>
      </c>
      <c r="L8" s="2">
        <v>491</v>
      </c>
    </row>
    <row r="9" spans="1:12" ht="17" x14ac:dyDescent="0.4">
      <c r="A9" s="3">
        <v>8</v>
      </c>
      <c r="B9" s="4" t="s">
        <v>26</v>
      </c>
      <c r="C9" s="5" t="s">
        <v>27</v>
      </c>
      <c r="D9" s="10" t="s">
        <v>473</v>
      </c>
      <c r="E9" s="28">
        <v>6</v>
      </c>
      <c r="F9" s="2" t="str">
        <f t="shared" si="0"/>
        <v>BusEq</v>
      </c>
      <c r="G9" s="6">
        <v>1.95E-2</v>
      </c>
      <c r="H9" s="7" t="s">
        <v>28</v>
      </c>
      <c r="I9" s="15">
        <v>8</v>
      </c>
      <c r="J9" s="32" t="s">
        <v>508</v>
      </c>
      <c r="K9" s="2">
        <f>COUNTIF(E:E, I9)</f>
        <v>8</v>
      </c>
      <c r="L9" s="2">
        <v>178</v>
      </c>
    </row>
    <row r="10" spans="1:12" ht="17" x14ac:dyDescent="0.4">
      <c r="A10" s="3">
        <v>9</v>
      </c>
      <c r="B10" s="4" t="s">
        <v>29</v>
      </c>
      <c r="C10" s="5" t="s">
        <v>30</v>
      </c>
      <c r="D10" s="10" t="s">
        <v>478</v>
      </c>
      <c r="E10" s="7">
        <v>2</v>
      </c>
      <c r="F10" s="2" t="str">
        <f t="shared" si="0"/>
        <v>Durbl</v>
      </c>
      <c r="G10" s="6">
        <v>1.6500000000000001E-2</v>
      </c>
      <c r="H10" s="7" t="s">
        <v>31</v>
      </c>
      <c r="I10" s="15">
        <v>9</v>
      </c>
      <c r="J10" s="32" t="s">
        <v>475</v>
      </c>
      <c r="K10" s="2">
        <f>COUNTIF(E:E, I10)</f>
        <v>8</v>
      </c>
      <c r="L10" s="2">
        <v>104</v>
      </c>
    </row>
    <row r="11" spans="1:12" ht="17" x14ac:dyDescent="0.4">
      <c r="A11" s="3">
        <v>11</v>
      </c>
      <c r="B11" s="4" t="s">
        <v>32</v>
      </c>
      <c r="C11" s="5" t="s">
        <v>33</v>
      </c>
      <c r="D11" s="10" t="s">
        <v>479</v>
      </c>
      <c r="E11" s="28">
        <v>11</v>
      </c>
      <c r="F11" s="2" t="str">
        <f t="shared" si="0"/>
        <v>Money</v>
      </c>
      <c r="G11" s="6">
        <v>1.4500000000000001E-2</v>
      </c>
      <c r="H11" s="7" t="s">
        <v>34</v>
      </c>
      <c r="I11" s="15">
        <v>10</v>
      </c>
      <c r="J11" s="32" t="s">
        <v>509</v>
      </c>
      <c r="K11" s="2">
        <f>COUNTIF(E:E, I11)</f>
        <v>8</v>
      </c>
      <c r="L11" s="2">
        <v>57</v>
      </c>
    </row>
    <row r="12" spans="1:12" ht="17" x14ac:dyDescent="0.4">
      <c r="A12" s="3">
        <v>12</v>
      </c>
      <c r="B12" s="4" t="s">
        <v>35</v>
      </c>
      <c r="C12" s="5" t="s">
        <v>36</v>
      </c>
      <c r="D12" s="10" t="s">
        <v>480</v>
      </c>
      <c r="E12" s="7">
        <v>10</v>
      </c>
      <c r="F12" s="2" t="str">
        <f t="shared" si="0"/>
        <v>Hlth</v>
      </c>
      <c r="G12" s="6">
        <v>1.32E-2</v>
      </c>
      <c r="H12" s="7" t="s">
        <v>37</v>
      </c>
      <c r="I12" s="15">
        <v>11</v>
      </c>
      <c r="J12" s="32" t="s">
        <v>510</v>
      </c>
      <c r="K12" s="2">
        <f>COUNTIF(E:E, I12)</f>
        <v>8</v>
      </c>
      <c r="L12" s="2">
        <v>60</v>
      </c>
    </row>
    <row r="13" spans="1:12" ht="17" x14ac:dyDescent="0.4">
      <c r="A13" s="3">
        <v>15</v>
      </c>
      <c r="B13" s="4" t="s">
        <v>44</v>
      </c>
      <c r="C13" s="5" t="s">
        <v>45</v>
      </c>
      <c r="D13" s="10" t="s">
        <v>483</v>
      </c>
      <c r="E13" s="7">
        <v>4</v>
      </c>
      <c r="F13" s="2" t="str">
        <f t="shared" si="0"/>
        <v>Enrgy</v>
      </c>
      <c r="G13" s="6">
        <v>9.7000000000000003E-3</v>
      </c>
      <c r="H13" s="7" t="s">
        <v>46</v>
      </c>
      <c r="I13" s="15">
        <v>12</v>
      </c>
      <c r="J13" s="13" t="s">
        <v>511</v>
      </c>
      <c r="K13" s="2">
        <f>COUNTIF(E:E, I13)</f>
        <v>0</v>
      </c>
    </row>
    <row r="14" spans="1:12" x14ac:dyDescent="0.4">
      <c r="A14" s="3">
        <v>17</v>
      </c>
      <c r="B14" s="4" t="s">
        <v>50</v>
      </c>
      <c r="C14" s="5" t="s">
        <v>51</v>
      </c>
      <c r="D14" s="10" t="s">
        <v>484</v>
      </c>
      <c r="E14" s="28">
        <v>9</v>
      </c>
      <c r="F14" s="2" t="str">
        <f t="shared" si="0"/>
        <v>Shops</v>
      </c>
      <c r="G14" s="6">
        <v>9.2999999999999992E-3</v>
      </c>
      <c r="H14" s="7" t="s">
        <v>52</v>
      </c>
    </row>
    <row r="15" spans="1:12" x14ac:dyDescent="0.4">
      <c r="A15" s="3">
        <v>18</v>
      </c>
      <c r="B15" s="4" t="s">
        <v>53</v>
      </c>
      <c r="C15" s="5" t="s">
        <v>54</v>
      </c>
      <c r="D15" s="10" t="s">
        <v>484</v>
      </c>
      <c r="E15" s="28">
        <v>9</v>
      </c>
      <c r="F15" s="2" t="str">
        <f t="shared" si="0"/>
        <v>Shops</v>
      </c>
      <c r="G15" s="6">
        <v>8.8999999999999999E-3</v>
      </c>
      <c r="H15" s="7" t="s">
        <v>55</v>
      </c>
    </row>
    <row r="16" spans="1:12" s="16" customFormat="1" x14ac:dyDescent="0.4">
      <c r="A16" s="3">
        <v>19</v>
      </c>
      <c r="B16" s="4" t="s">
        <v>56</v>
      </c>
      <c r="C16" s="5" t="s">
        <v>57</v>
      </c>
      <c r="D16" s="10" t="s">
        <v>485</v>
      </c>
      <c r="E16" s="7">
        <v>5</v>
      </c>
      <c r="F16" s="2" t="str">
        <f t="shared" si="0"/>
        <v>Chems</v>
      </c>
      <c r="G16" s="6">
        <v>7.9000000000000008E-3</v>
      </c>
      <c r="H16" s="7" t="s">
        <v>58</v>
      </c>
      <c r="J16" s="2"/>
      <c r="K16" s="2"/>
      <c r="L16" s="2"/>
    </row>
    <row r="17" spans="1:12" s="16" customFormat="1" x14ac:dyDescent="0.4">
      <c r="A17" s="3">
        <v>20</v>
      </c>
      <c r="B17" s="4" t="s">
        <v>59</v>
      </c>
      <c r="C17" s="5" t="s">
        <v>60</v>
      </c>
      <c r="D17" s="10" t="s">
        <v>480</v>
      </c>
      <c r="E17" s="7">
        <v>10</v>
      </c>
      <c r="F17" s="2" t="str">
        <f t="shared" si="0"/>
        <v>Hlth</v>
      </c>
      <c r="G17" s="6">
        <v>7.7999999999999996E-3</v>
      </c>
      <c r="H17" s="7" t="s">
        <v>61</v>
      </c>
      <c r="J17" s="2"/>
      <c r="K17" s="2"/>
      <c r="L17" s="2"/>
    </row>
    <row r="18" spans="1:12" s="16" customFormat="1" x14ac:dyDescent="0.4">
      <c r="A18" s="3">
        <v>21</v>
      </c>
      <c r="B18" s="4" t="s">
        <v>62</v>
      </c>
      <c r="C18" s="5" t="s">
        <v>63</v>
      </c>
      <c r="D18" s="10" t="s">
        <v>486</v>
      </c>
      <c r="E18" s="28">
        <v>11</v>
      </c>
      <c r="F18" s="2" t="str">
        <f t="shared" si="0"/>
        <v>Money</v>
      </c>
      <c r="G18" s="6">
        <v>7.7999999999999996E-3</v>
      </c>
      <c r="H18" s="7" t="s">
        <v>64</v>
      </c>
      <c r="J18" s="2"/>
      <c r="K18" s="2"/>
      <c r="L18" s="2"/>
    </row>
    <row r="19" spans="1:12" s="16" customFormat="1" x14ac:dyDescent="0.4">
      <c r="A19" s="3">
        <v>22</v>
      </c>
      <c r="B19" s="4" t="s">
        <v>65</v>
      </c>
      <c r="C19" s="5" t="s">
        <v>66</v>
      </c>
      <c r="D19" s="10" t="s">
        <v>487</v>
      </c>
      <c r="E19" s="28">
        <v>9</v>
      </c>
      <c r="F19" s="2" t="str">
        <f t="shared" si="0"/>
        <v>Shops</v>
      </c>
      <c r="G19" s="6">
        <v>7.4999999999999997E-3</v>
      </c>
      <c r="H19" s="7" t="s">
        <v>67</v>
      </c>
      <c r="J19" s="2"/>
      <c r="K19" s="2"/>
      <c r="L19" s="2"/>
    </row>
    <row r="20" spans="1:12" s="16" customFormat="1" x14ac:dyDescent="0.4">
      <c r="A20" s="3">
        <v>23</v>
      </c>
      <c r="B20" s="4" t="s">
        <v>68</v>
      </c>
      <c r="C20" s="5" t="s">
        <v>69</v>
      </c>
      <c r="D20" s="10" t="s">
        <v>480</v>
      </c>
      <c r="E20" s="7">
        <v>10</v>
      </c>
      <c r="F20" s="2" t="str">
        <f t="shared" si="0"/>
        <v>Hlth</v>
      </c>
      <c r="G20" s="6">
        <v>7.1999999999999998E-3</v>
      </c>
      <c r="H20" s="7" t="s">
        <v>70</v>
      </c>
      <c r="J20" s="2"/>
      <c r="K20" s="2"/>
      <c r="L20" s="2"/>
    </row>
    <row r="21" spans="1:12" s="16" customFormat="1" x14ac:dyDescent="0.4">
      <c r="A21" s="3">
        <v>24</v>
      </c>
      <c r="B21" s="4" t="s">
        <v>71</v>
      </c>
      <c r="C21" s="5" t="s">
        <v>72</v>
      </c>
      <c r="D21" s="10" t="s">
        <v>488</v>
      </c>
      <c r="E21" s="7">
        <v>1</v>
      </c>
      <c r="F21" s="2" t="str">
        <f t="shared" si="0"/>
        <v>NoDur</v>
      </c>
      <c r="G21" s="6">
        <v>5.7999999999999996E-3</v>
      </c>
      <c r="H21" s="7" t="s">
        <v>73</v>
      </c>
      <c r="J21" s="2"/>
      <c r="K21" s="2"/>
      <c r="L21" s="2"/>
    </row>
    <row r="22" spans="1:12" s="16" customFormat="1" x14ac:dyDescent="0.4">
      <c r="A22" s="3">
        <v>25</v>
      </c>
      <c r="B22" s="4" t="s">
        <v>74</v>
      </c>
      <c r="C22" s="5" t="s">
        <v>75</v>
      </c>
      <c r="D22" s="10" t="s">
        <v>479</v>
      </c>
      <c r="E22" s="28">
        <v>11</v>
      </c>
      <c r="F22" s="2" t="str">
        <f>VLOOKUP(E22, I$2:J$13, 2,TRUE)</f>
        <v>Money</v>
      </c>
      <c r="G22" s="6">
        <v>5.5999999999999999E-3</v>
      </c>
      <c r="H22" s="7" t="s">
        <v>76</v>
      </c>
      <c r="J22" s="2"/>
      <c r="K22" s="2"/>
      <c r="L22" s="2"/>
    </row>
    <row r="23" spans="1:12" s="16" customFormat="1" x14ac:dyDescent="0.4">
      <c r="A23" s="3">
        <v>26</v>
      </c>
      <c r="B23" s="4" t="s">
        <v>77</v>
      </c>
      <c r="C23" s="5" t="s">
        <v>78</v>
      </c>
      <c r="D23" s="10" t="s">
        <v>489</v>
      </c>
      <c r="E23" s="7">
        <v>1</v>
      </c>
      <c r="F23" s="2" t="str">
        <f>VLOOKUP(E23, I$2:J$13, 2,TRUE)</f>
        <v>NoDur</v>
      </c>
      <c r="G23" s="6">
        <v>5.5999999999999999E-3</v>
      </c>
      <c r="H23" s="7" t="s">
        <v>79</v>
      </c>
      <c r="J23" s="2"/>
      <c r="K23" s="2"/>
      <c r="L23" s="2"/>
    </row>
    <row r="24" spans="1:12" s="16" customFormat="1" x14ac:dyDescent="0.4">
      <c r="A24" s="3">
        <v>27</v>
      </c>
      <c r="B24" s="4" t="s">
        <v>80</v>
      </c>
      <c r="C24" s="5" t="s">
        <v>81</v>
      </c>
      <c r="D24" s="10" t="s">
        <v>472</v>
      </c>
      <c r="E24" s="28">
        <v>6</v>
      </c>
      <c r="F24" s="2" t="str">
        <f>VLOOKUP(E24, I$2:J$13, 2,TRUE)</f>
        <v>BusEq</v>
      </c>
      <c r="G24" s="6">
        <v>5.4000000000000003E-3</v>
      </c>
      <c r="H24" s="7" t="s">
        <v>82</v>
      </c>
      <c r="J24" s="2"/>
      <c r="K24" s="2"/>
      <c r="L24" s="2"/>
    </row>
    <row r="25" spans="1:12" s="16" customFormat="1" x14ac:dyDescent="0.4">
      <c r="A25" s="17">
        <v>28</v>
      </c>
      <c r="B25" s="18" t="s">
        <v>83</v>
      </c>
      <c r="C25" s="19" t="s">
        <v>84</v>
      </c>
      <c r="D25" s="20" t="s">
        <v>472</v>
      </c>
      <c r="E25" s="21">
        <v>6</v>
      </c>
      <c r="F25" s="22" t="str">
        <f>VLOOKUP(E25, I$2:J$13, 2,TRUE)</f>
        <v>BusEq</v>
      </c>
      <c r="G25" s="23">
        <v>5.0000000000000001E-3</v>
      </c>
      <c r="H25" s="21" t="s">
        <v>85</v>
      </c>
      <c r="J25" s="2"/>
      <c r="K25" s="2"/>
      <c r="L25" s="2"/>
    </row>
    <row r="26" spans="1:12" s="16" customFormat="1" x14ac:dyDescent="0.4">
      <c r="A26" s="3">
        <v>29</v>
      </c>
      <c r="B26" s="4" t="s">
        <v>86</v>
      </c>
      <c r="C26" s="5" t="s">
        <v>87</v>
      </c>
      <c r="D26" s="10" t="s">
        <v>479</v>
      </c>
      <c r="E26" s="28">
        <v>11</v>
      </c>
      <c r="F26" s="2" t="str">
        <f>VLOOKUP(E26, I$2:J$13, 2,TRUE)</f>
        <v>Money</v>
      </c>
      <c r="G26" s="6">
        <v>5.0000000000000001E-3</v>
      </c>
      <c r="H26" s="7" t="s">
        <v>88</v>
      </c>
      <c r="J26" s="2"/>
      <c r="K26" s="2"/>
      <c r="L26" s="2"/>
    </row>
    <row r="27" spans="1:12" s="16" customFormat="1" x14ac:dyDescent="0.4">
      <c r="A27" s="3">
        <v>32</v>
      </c>
      <c r="B27" s="4" t="s">
        <v>95</v>
      </c>
      <c r="C27" s="5" t="s">
        <v>96</v>
      </c>
      <c r="D27" s="10" t="s">
        <v>483</v>
      </c>
      <c r="E27" s="7">
        <v>4</v>
      </c>
      <c r="F27" s="2" t="str">
        <f>VLOOKUP(E27, I$2:J$13, 2,TRUE)</f>
        <v>Enrgy</v>
      </c>
      <c r="G27" s="6">
        <v>4.7999999999999996E-3</v>
      </c>
      <c r="H27" s="7" t="s">
        <v>97</v>
      </c>
      <c r="J27" s="2"/>
      <c r="K27" s="2"/>
      <c r="L27" s="2"/>
    </row>
    <row r="28" spans="1:12" s="16" customFormat="1" x14ac:dyDescent="0.4">
      <c r="A28" s="3">
        <v>33</v>
      </c>
      <c r="B28" s="4" t="s">
        <v>98</v>
      </c>
      <c r="C28" s="5" t="s">
        <v>99</v>
      </c>
      <c r="D28" s="10" t="s">
        <v>480</v>
      </c>
      <c r="E28" s="7">
        <v>10</v>
      </c>
      <c r="F28" s="2" t="str">
        <f>VLOOKUP(E28, I$2:J$13, 2,TRUE)</f>
        <v>Hlth</v>
      </c>
      <c r="G28" s="6">
        <v>4.7999999999999996E-3</v>
      </c>
      <c r="H28" s="7" t="s">
        <v>100</v>
      </c>
      <c r="J28" s="2"/>
      <c r="K28" s="2"/>
      <c r="L28" s="2"/>
    </row>
    <row r="29" spans="1:12" s="16" customFormat="1" x14ac:dyDescent="0.4">
      <c r="A29" s="3">
        <v>34</v>
      </c>
      <c r="B29" s="4" t="s">
        <v>101</v>
      </c>
      <c r="C29" s="5" t="s">
        <v>102</v>
      </c>
      <c r="D29" s="10" t="s">
        <v>491</v>
      </c>
      <c r="E29" s="28">
        <v>9</v>
      </c>
      <c r="F29" s="2" t="str">
        <f>VLOOKUP(E29, I$2:J$13, 2,TRUE)</f>
        <v>Shops</v>
      </c>
      <c r="G29" s="6">
        <v>4.7000000000000002E-3</v>
      </c>
      <c r="H29" s="7" t="s">
        <v>103</v>
      </c>
      <c r="J29" s="2"/>
      <c r="K29" s="2"/>
      <c r="L29" s="2"/>
    </row>
    <row r="30" spans="1:12" s="16" customFormat="1" x14ac:dyDescent="0.4">
      <c r="A30" s="3">
        <v>36</v>
      </c>
      <c r="B30" s="4" t="s">
        <v>107</v>
      </c>
      <c r="C30" s="5" t="s">
        <v>108</v>
      </c>
      <c r="D30" s="10" t="s">
        <v>493</v>
      </c>
      <c r="E30" s="7">
        <v>3</v>
      </c>
      <c r="F30" s="2" t="str">
        <f>VLOOKUP(E30, I$2:J$13, 2,TRUE)</f>
        <v>Manuf</v>
      </c>
      <c r="G30" s="6">
        <v>4.5999999999999999E-3</v>
      </c>
      <c r="H30" s="7" t="s">
        <v>109</v>
      </c>
      <c r="J30" s="2"/>
      <c r="K30" s="2"/>
      <c r="L30" s="2"/>
    </row>
    <row r="31" spans="1:12" s="16" customFormat="1" x14ac:dyDescent="0.4">
      <c r="A31" s="3">
        <v>37</v>
      </c>
      <c r="B31" s="4" t="s">
        <v>110</v>
      </c>
      <c r="C31" s="5" t="s">
        <v>111</v>
      </c>
      <c r="D31" s="10" t="s">
        <v>494</v>
      </c>
      <c r="E31" s="7">
        <v>5</v>
      </c>
      <c r="F31" s="2" t="str">
        <f>VLOOKUP(E31, I$2:J$13, 2,TRUE)</f>
        <v>Chems</v>
      </c>
      <c r="G31" s="6">
        <v>4.4999999999999997E-3</v>
      </c>
      <c r="H31" s="7" t="s">
        <v>112</v>
      </c>
      <c r="J31" s="2"/>
      <c r="K31" s="2"/>
      <c r="L31" s="2"/>
    </row>
    <row r="32" spans="1:12" s="16" customFormat="1" x14ac:dyDescent="0.4">
      <c r="A32" s="3">
        <v>38</v>
      </c>
      <c r="B32" s="4" t="s">
        <v>113</v>
      </c>
      <c r="C32" s="5" t="s">
        <v>114</v>
      </c>
      <c r="D32" s="10" t="s">
        <v>480</v>
      </c>
      <c r="E32" s="7">
        <v>10</v>
      </c>
      <c r="F32" s="2" t="str">
        <f>VLOOKUP(E32, I$2:J$13, 2,TRUE)</f>
        <v>Hlth</v>
      </c>
      <c r="G32" s="6">
        <v>4.4000000000000003E-3</v>
      </c>
      <c r="H32" s="7" t="s">
        <v>115</v>
      </c>
      <c r="J32" s="2"/>
      <c r="K32" s="2"/>
      <c r="L32" s="2"/>
    </row>
    <row r="33" spans="1:12" s="16" customFormat="1" x14ac:dyDescent="0.4">
      <c r="A33" s="3">
        <v>39</v>
      </c>
      <c r="B33" s="4" t="s">
        <v>116</v>
      </c>
      <c r="C33" s="5" t="s">
        <v>117</v>
      </c>
      <c r="D33" s="10" t="s">
        <v>495</v>
      </c>
      <c r="E33" s="7">
        <v>7</v>
      </c>
      <c r="F33" s="2" t="str">
        <f>VLOOKUP(E33, I$2:J$13, 2,TRUE)</f>
        <v>Telcm</v>
      </c>
      <c r="G33" s="6">
        <v>4.1999999999999997E-3</v>
      </c>
      <c r="H33" s="7" t="s">
        <v>118</v>
      </c>
      <c r="J33" s="2"/>
      <c r="K33" s="2"/>
      <c r="L33" s="2"/>
    </row>
    <row r="34" spans="1:12" s="16" customFormat="1" x14ac:dyDescent="0.4">
      <c r="A34" s="3">
        <v>42</v>
      </c>
      <c r="B34" s="4" t="s">
        <v>125</v>
      </c>
      <c r="C34" s="5" t="s">
        <v>126</v>
      </c>
      <c r="D34" s="10" t="s">
        <v>496</v>
      </c>
      <c r="E34" s="7">
        <v>10</v>
      </c>
      <c r="F34" s="2" t="str">
        <f>VLOOKUP(E34, I$2:J$13, 2,TRUE)</f>
        <v>Hlth</v>
      </c>
      <c r="G34" s="6">
        <v>3.8999999999999998E-3</v>
      </c>
      <c r="H34" s="7" t="s">
        <v>127</v>
      </c>
      <c r="J34" s="2"/>
      <c r="K34" s="2"/>
      <c r="L34" s="2"/>
    </row>
    <row r="35" spans="1:12" s="16" customFormat="1" x14ac:dyDescent="0.4">
      <c r="A35" s="3">
        <v>43</v>
      </c>
      <c r="B35" s="4" t="s">
        <v>128</v>
      </c>
      <c r="C35" s="5" t="s">
        <v>129</v>
      </c>
      <c r="D35" s="10" t="s">
        <v>488</v>
      </c>
      <c r="E35" s="7">
        <v>1</v>
      </c>
      <c r="F35" s="2" t="str">
        <f>VLOOKUP(E35, I$2:J$13, 2,TRUE)</f>
        <v>NoDur</v>
      </c>
      <c r="G35" s="6">
        <v>3.8999999999999998E-3</v>
      </c>
      <c r="H35" s="7" t="s">
        <v>130</v>
      </c>
      <c r="J35" s="2"/>
      <c r="K35" s="2"/>
      <c r="L35" s="2"/>
    </row>
    <row r="36" spans="1:12" s="16" customFormat="1" x14ac:dyDescent="0.4">
      <c r="A36" s="3">
        <v>44</v>
      </c>
      <c r="B36" s="4" t="s">
        <v>131</v>
      </c>
      <c r="C36" s="5" t="s">
        <v>132</v>
      </c>
      <c r="D36" s="10" t="s">
        <v>495</v>
      </c>
      <c r="E36" s="7">
        <v>7</v>
      </c>
      <c r="F36" s="2" t="str">
        <f>VLOOKUP(E36, I$2:J$13, 2,TRUE)</f>
        <v>Telcm</v>
      </c>
      <c r="G36" s="6">
        <v>3.8E-3</v>
      </c>
      <c r="H36" s="7" t="s">
        <v>133</v>
      </c>
      <c r="J36" s="2"/>
      <c r="K36" s="2"/>
      <c r="L36" s="2"/>
    </row>
    <row r="37" spans="1:12" s="16" customFormat="1" x14ac:dyDescent="0.4">
      <c r="A37" s="3">
        <v>46</v>
      </c>
      <c r="B37" s="4" t="s">
        <v>137</v>
      </c>
      <c r="C37" s="5" t="s">
        <v>138</v>
      </c>
      <c r="D37" s="10" t="s">
        <v>497</v>
      </c>
      <c r="E37" s="28">
        <v>11</v>
      </c>
      <c r="F37" s="2" t="str">
        <f>VLOOKUP(E37, I$2:J$13, 2,TRUE)</f>
        <v>Money</v>
      </c>
      <c r="G37" s="6">
        <v>3.5999999999999999E-3</v>
      </c>
      <c r="H37" s="7" t="s">
        <v>139</v>
      </c>
      <c r="J37" s="2"/>
      <c r="K37" s="2"/>
      <c r="L37" s="2"/>
    </row>
    <row r="38" spans="1:12" s="16" customFormat="1" x14ac:dyDescent="0.4">
      <c r="A38" s="3">
        <v>47</v>
      </c>
      <c r="B38" s="4" t="s">
        <v>140</v>
      </c>
      <c r="C38" s="5" t="s">
        <v>141</v>
      </c>
      <c r="D38" s="10" t="s">
        <v>498</v>
      </c>
      <c r="E38" s="7">
        <v>3</v>
      </c>
      <c r="F38" s="2" t="str">
        <f>VLOOKUP(E38, I$2:J$13, 2,TRUE)</f>
        <v>Manuf</v>
      </c>
      <c r="G38" s="6">
        <v>3.5999999999999999E-3</v>
      </c>
      <c r="H38" s="7" t="s">
        <v>142</v>
      </c>
      <c r="J38" s="2"/>
      <c r="K38" s="2"/>
      <c r="L38" s="2"/>
    </row>
    <row r="39" spans="1:12" s="16" customFormat="1" x14ac:dyDescent="0.4">
      <c r="A39" s="3">
        <v>52</v>
      </c>
      <c r="B39" s="4" t="s">
        <v>155</v>
      </c>
      <c r="C39" s="5" t="s">
        <v>156</v>
      </c>
      <c r="D39" s="10" t="s">
        <v>477</v>
      </c>
      <c r="E39" s="28">
        <v>11</v>
      </c>
      <c r="F39" s="2" t="str">
        <f>VLOOKUP(E39, I$2:J$13, 2,TRUE)</f>
        <v>Money</v>
      </c>
      <c r="G39" s="6">
        <v>3.3999999999999998E-3</v>
      </c>
      <c r="H39" s="7" t="s">
        <v>157</v>
      </c>
      <c r="J39" s="2"/>
      <c r="K39" s="2"/>
      <c r="L39" s="2"/>
    </row>
    <row r="40" spans="1:12" s="16" customFormat="1" x14ac:dyDescent="0.4">
      <c r="A40" s="3">
        <v>56</v>
      </c>
      <c r="B40" s="4" t="s">
        <v>164</v>
      </c>
      <c r="C40" s="5" t="s">
        <v>165</v>
      </c>
      <c r="D40" s="10" t="s">
        <v>517</v>
      </c>
      <c r="E40" s="7">
        <v>10</v>
      </c>
      <c r="F40" s="2" t="str">
        <f>VLOOKUP(E40, I$2:J$13, 2,TRUE)</f>
        <v>Hlth</v>
      </c>
      <c r="G40" s="6">
        <v>3.2000000000000002E-3</v>
      </c>
      <c r="H40" s="7" t="s">
        <v>166</v>
      </c>
      <c r="J40" s="2"/>
      <c r="K40" s="2"/>
      <c r="L40" s="2"/>
    </row>
    <row r="41" spans="1:12" s="16" customFormat="1" x14ac:dyDescent="0.4">
      <c r="A41" s="17">
        <v>57</v>
      </c>
      <c r="B41" s="18" t="s">
        <v>167</v>
      </c>
      <c r="C41" s="19" t="s">
        <v>168</v>
      </c>
      <c r="D41" s="20" t="s">
        <v>518</v>
      </c>
      <c r="E41" s="21">
        <v>10</v>
      </c>
      <c r="F41" s="22" t="str">
        <f>VLOOKUP(E41, I$2:J$13, 2,TRUE)</f>
        <v>Hlth</v>
      </c>
      <c r="G41" s="23">
        <v>3.2000000000000002E-3</v>
      </c>
      <c r="H41" s="21" t="s">
        <v>169</v>
      </c>
      <c r="J41" s="2"/>
      <c r="K41" s="2"/>
      <c r="L41" s="2"/>
    </row>
    <row r="42" spans="1:12" s="16" customFormat="1" x14ac:dyDescent="0.4">
      <c r="A42" s="3">
        <v>58</v>
      </c>
      <c r="B42" s="4" t="s">
        <v>170</v>
      </c>
      <c r="C42" s="5" t="s">
        <v>171</v>
      </c>
      <c r="D42" s="10" t="s">
        <v>519</v>
      </c>
      <c r="E42" s="7">
        <v>3</v>
      </c>
      <c r="F42" s="2" t="str">
        <f>VLOOKUP(E42, I$2:J$13, 2,TRUE)</f>
        <v>Manuf</v>
      </c>
      <c r="G42" s="6">
        <v>3.2000000000000002E-3</v>
      </c>
      <c r="H42" s="7" t="s">
        <v>172</v>
      </c>
      <c r="J42" s="2"/>
      <c r="K42" s="2"/>
      <c r="L42" s="2"/>
    </row>
    <row r="43" spans="1:12" s="16" customFormat="1" x14ac:dyDescent="0.4">
      <c r="A43" s="17">
        <v>60</v>
      </c>
      <c r="B43" s="18" t="s">
        <v>173</v>
      </c>
      <c r="C43" s="19" t="s">
        <v>174</v>
      </c>
      <c r="D43" s="20" t="s">
        <v>520</v>
      </c>
      <c r="E43" s="21">
        <v>11</v>
      </c>
      <c r="F43" s="22" t="str">
        <f>VLOOKUP(E43, I$2:J$13, 2,TRUE)</f>
        <v>Money</v>
      </c>
      <c r="G43" s="23">
        <v>3.0999999999999999E-3</v>
      </c>
      <c r="H43" s="21" t="s">
        <v>175</v>
      </c>
      <c r="J43" s="2"/>
      <c r="K43" s="2"/>
      <c r="L43" s="2"/>
    </row>
    <row r="44" spans="1:12" s="16" customFormat="1" x14ac:dyDescent="0.4">
      <c r="A44" s="3">
        <v>63</v>
      </c>
      <c r="B44" s="4" t="s">
        <v>179</v>
      </c>
      <c r="C44" s="5" t="s">
        <v>180</v>
      </c>
      <c r="D44" s="10" t="s">
        <v>521</v>
      </c>
      <c r="E44" s="28">
        <v>9</v>
      </c>
      <c r="F44" s="2" t="str">
        <f>VLOOKUP(E44, I$2:J$13, 2,TRUE)</f>
        <v>Shops</v>
      </c>
      <c r="G44" s="6">
        <v>3.0000000000000001E-3</v>
      </c>
      <c r="H44" s="7" t="s">
        <v>181</v>
      </c>
      <c r="J44" s="2"/>
      <c r="K44" s="2"/>
      <c r="L44" s="2"/>
    </row>
    <row r="45" spans="1:12" s="16" customFormat="1" x14ac:dyDescent="0.4">
      <c r="A45" s="3">
        <v>65</v>
      </c>
      <c r="B45" s="4" t="s">
        <v>185</v>
      </c>
      <c r="C45" s="5" t="s">
        <v>186</v>
      </c>
      <c r="D45" s="10" t="s">
        <v>522</v>
      </c>
      <c r="E45" s="7">
        <v>3</v>
      </c>
      <c r="F45" s="2" t="str">
        <f>VLOOKUP(E45, I$2:J$13, 2,TRUE)</f>
        <v>Manuf</v>
      </c>
      <c r="G45" s="6">
        <v>2.8999999999999998E-3</v>
      </c>
      <c r="H45" s="7" t="s">
        <v>187</v>
      </c>
      <c r="J45" s="2"/>
      <c r="K45" s="2"/>
      <c r="L45" s="2"/>
    </row>
    <row r="46" spans="1:12" s="16" customFormat="1" x14ac:dyDescent="0.4">
      <c r="A46" s="3">
        <v>66</v>
      </c>
      <c r="B46" s="4" t="s">
        <v>188</v>
      </c>
      <c r="C46" s="5" t="s">
        <v>189</v>
      </c>
      <c r="D46" s="10" t="s">
        <v>498</v>
      </c>
      <c r="E46" s="7">
        <v>3</v>
      </c>
      <c r="F46" s="2" t="str">
        <f>VLOOKUP(E46, I$2:J$13, 2,TRUE)</f>
        <v>Manuf</v>
      </c>
      <c r="G46" s="6">
        <v>2.8999999999999998E-3</v>
      </c>
      <c r="H46" s="7" t="s">
        <v>190</v>
      </c>
      <c r="J46" s="2"/>
      <c r="K46" s="2"/>
      <c r="L46" s="2"/>
    </row>
    <row r="47" spans="1:12" s="16" customFormat="1" x14ac:dyDescent="0.4">
      <c r="A47" s="3">
        <v>67</v>
      </c>
      <c r="B47" s="4" t="s">
        <v>191</v>
      </c>
      <c r="C47" s="5" t="s">
        <v>192</v>
      </c>
      <c r="D47" s="10" t="s">
        <v>523</v>
      </c>
      <c r="E47" s="7">
        <v>8</v>
      </c>
      <c r="F47" s="2" t="str">
        <f>VLOOKUP(E47, I$2:J$13, 2,TRUE)</f>
        <v>Utils</v>
      </c>
      <c r="G47" s="6">
        <v>2.8999999999999998E-3</v>
      </c>
      <c r="H47" s="7" t="s">
        <v>193</v>
      </c>
      <c r="J47" s="2"/>
      <c r="K47" s="2"/>
      <c r="L47" s="2"/>
    </row>
    <row r="48" spans="1:12" s="16" customFormat="1" x14ac:dyDescent="0.4">
      <c r="A48" s="3">
        <v>75</v>
      </c>
      <c r="B48" s="4" t="s">
        <v>215</v>
      </c>
      <c r="C48" s="5" t="s">
        <v>216</v>
      </c>
      <c r="D48" s="10" t="s">
        <v>525</v>
      </c>
      <c r="E48" s="7">
        <v>7</v>
      </c>
      <c r="F48" s="2" t="str">
        <f>VLOOKUP(E48, I$2:J$13, 2,TRUE)</f>
        <v>Telcm</v>
      </c>
      <c r="G48" s="6">
        <v>2.7000000000000001E-3</v>
      </c>
      <c r="H48" s="7" t="s">
        <v>217</v>
      </c>
      <c r="J48" s="2"/>
      <c r="K48" s="2"/>
      <c r="L48" s="2"/>
    </row>
    <row r="49" spans="1:12" s="16" customFormat="1" x14ac:dyDescent="0.4">
      <c r="A49" s="3">
        <v>77</v>
      </c>
      <c r="B49" s="4" t="s">
        <v>218</v>
      </c>
      <c r="C49" s="5" t="s">
        <v>219</v>
      </c>
      <c r="D49" s="10" t="s">
        <v>487</v>
      </c>
      <c r="E49" s="28">
        <v>9</v>
      </c>
      <c r="F49" s="2" t="str">
        <f t="shared" ref="F49:F87" si="1">VLOOKUP(E49, I$2:J$13, 2,TRUE)</f>
        <v>Shops</v>
      </c>
      <c r="G49" s="6">
        <v>2.5999999999999999E-3</v>
      </c>
      <c r="H49" s="7" t="s">
        <v>220</v>
      </c>
      <c r="J49" s="2"/>
      <c r="K49" s="2"/>
      <c r="L49" s="2"/>
    </row>
    <row r="50" spans="1:12" s="16" customFormat="1" x14ac:dyDescent="0.4">
      <c r="A50" s="3">
        <v>79</v>
      </c>
      <c r="B50" s="4" t="s">
        <v>221</v>
      </c>
      <c r="C50" s="5" t="s">
        <v>222</v>
      </c>
      <c r="D50" s="10" t="s">
        <v>526</v>
      </c>
      <c r="E50" s="7">
        <v>3</v>
      </c>
      <c r="F50" s="2" t="str">
        <f t="shared" si="1"/>
        <v>Manuf</v>
      </c>
      <c r="G50" s="6">
        <v>2.5999999999999999E-3</v>
      </c>
      <c r="H50" s="7" t="s">
        <v>223</v>
      </c>
      <c r="J50" s="2"/>
      <c r="K50" s="2"/>
      <c r="L50" s="2"/>
    </row>
    <row r="51" spans="1:12" s="16" customFormat="1" x14ac:dyDescent="0.4">
      <c r="A51" s="3">
        <v>82</v>
      </c>
      <c r="B51" s="4" t="s">
        <v>224</v>
      </c>
      <c r="C51" s="5" t="s">
        <v>225</v>
      </c>
      <c r="D51" s="10" t="s">
        <v>527</v>
      </c>
      <c r="E51" s="7">
        <v>3</v>
      </c>
      <c r="F51" s="2" t="str">
        <f t="shared" si="1"/>
        <v>Manuf</v>
      </c>
      <c r="G51" s="6">
        <v>2.5000000000000001E-3</v>
      </c>
      <c r="H51" s="7" t="s">
        <v>226</v>
      </c>
      <c r="J51" s="2"/>
      <c r="K51" s="2"/>
      <c r="L51" s="2"/>
    </row>
    <row r="52" spans="1:12" s="16" customFormat="1" x14ac:dyDescent="0.4">
      <c r="A52" s="3">
        <v>83</v>
      </c>
      <c r="B52" s="4" t="s">
        <v>227</v>
      </c>
      <c r="C52" s="5" t="s">
        <v>228</v>
      </c>
      <c r="D52" s="10" t="s">
        <v>528</v>
      </c>
      <c r="E52" s="7">
        <v>7</v>
      </c>
      <c r="F52" s="2" t="str">
        <f t="shared" si="1"/>
        <v>Telcm</v>
      </c>
      <c r="G52" s="6">
        <v>2.5000000000000001E-3</v>
      </c>
      <c r="H52" s="7" t="s">
        <v>229</v>
      </c>
      <c r="J52" s="2"/>
      <c r="K52" s="2"/>
      <c r="L52" s="2"/>
    </row>
    <row r="53" spans="1:12" s="16" customFormat="1" x14ac:dyDescent="0.4">
      <c r="A53" s="3">
        <v>84</v>
      </c>
      <c r="B53" s="4" t="s">
        <v>230</v>
      </c>
      <c r="C53" s="5" t="s">
        <v>231</v>
      </c>
      <c r="D53" s="10" t="s">
        <v>483</v>
      </c>
      <c r="E53" s="7">
        <v>4</v>
      </c>
      <c r="F53" s="2" t="str">
        <f t="shared" si="1"/>
        <v>Enrgy</v>
      </c>
      <c r="G53" s="6">
        <v>2.3999999999999998E-3</v>
      </c>
      <c r="H53" s="7" t="s">
        <v>232</v>
      </c>
      <c r="J53" s="2"/>
      <c r="K53" s="2"/>
      <c r="L53" s="2"/>
    </row>
    <row r="54" spans="1:12" s="29" customFormat="1" x14ac:dyDescent="0.4">
      <c r="A54" s="17">
        <v>89</v>
      </c>
      <c r="B54" s="18" t="s">
        <v>242</v>
      </c>
      <c r="C54" s="19" t="s">
        <v>243</v>
      </c>
      <c r="D54" s="20" t="s">
        <v>493</v>
      </c>
      <c r="E54" s="21">
        <v>3</v>
      </c>
      <c r="F54" s="22" t="str">
        <f t="shared" si="1"/>
        <v>Manuf</v>
      </c>
      <c r="G54" s="23">
        <v>2.2000000000000001E-3</v>
      </c>
      <c r="H54" s="21" t="s">
        <v>244</v>
      </c>
      <c r="I54" s="31"/>
    </row>
    <row r="55" spans="1:12" x14ac:dyDescent="0.4">
      <c r="A55" s="3">
        <v>93</v>
      </c>
      <c r="B55" s="4" t="s">
        <v>254</v>
      </c>
      <c r="C55" s="5" t="s">
        <v>255</v>
      </c>
      <c r="D55" s="10" t="s">
        <v>489</v>
      </c>
      <c r="E55" s="7">
        <v>1</v>
      </c>
      <c r="F55" s="2" t="str">
        <f t="shared" si="1"/>
        <v>NoDur</v>
      </c>
      <c r="G55" s="6">
        <v>2.0999999999999999E-3</v>
      </c>
      <c r="H55" s="7" t="s">
        <v>256</v>
      </c>
    </row>
    <row r="56" spans="1:12" x14ac:dyDescent="0.4">
      <c r="A56" s="3">
        <v>94</v>
      </c>
      <c r="B56" s="4" t="s">
        <v>257</v>
      </c>
      <c r="C56" s="5" t="s">
        <v>258</v>
      </c>
      <c r="D56" s="10" t="s">
        <v>523</v>
      </c>
      <c r="E56" s="7">
        <v>8</v>
      </c>
      <c r="F56" s="2" t="str">
        <f t="shared" si="1"/>
        <v>Utils</v>
      </c>
      <c r="G56" s="6">
        <v>2.0999999999999999E-3</v>
      </c>
      <c r="H56" s="7" t="s">
        <v>259</v>
      </c>
    </row>
    <row r="57" spans="1:12" x14ac:dyDescent="0.4">
      <c r="A57" s="3">
        <v>103</v>
      </c>
      <c r="B57" s="4" t="s">
        <v>263</v>
      </c>
      <c r="C57" s="5" t="s">
        <v>264</v>
      </c>
      <c r="D57" s="10" t="s">
        <v>533</v>
      </c>
      <c r="E57" s="7">
        <v>8</v>
      </c>
      <c r="F57" s="2" t="str">
        <f t="shared" si="1"/>
        <v>Utils</v>
      </c>
      <c r="G57" s="6">
        <v>2E-3</v>
      </c>
      <c r="H57" s="7" t="s">
        <v>265</v>
      </c>
    </row>
    <row r="58" spans="1:12" x14ac:dyDescent="0.4">
      <c r="A58" s="17">
        <v>104</v>
      </c>
      <c r="B58" s="18" t="s">
        <v>266</v>
      </c>
      <c r="C58" s="19" t="s">
        <v>267</v>
      </c>
      <c r="D58" s="20" t="s">
        <v>534</v>
      </c>
      <c r="E58" s="21">
        <v>9</v>
      </c>
      <c r="F58" s="22" t="str">
        <f t="shared" si="1"/>
        <v>Shops</v>
      </c>
      <c r="G58" s="23">
        <v>2E-3</v>
      </c>
      <c r="H58" s="21" t="s">
        <v>268</v>
      </c>
    </row>
    <row r="59" spans="1:12" x14ac:dyDescent="0.4">
      <c r="A59" s="3">
        <v>112</v>
      </c>
      <c r="B59" s="4" t="s">
        <v>275</v>
      </c>
      <c r="C59" s="5" t="s">
        <v>276</v>
      </c>
      <c r="D59" s="10" t="s">
        <v>537</v>
      </c>
      <c r="E59" s="7">
        <v>1</v>
      </c>
      <c r="F59" s="2" t="str">
        <f t="shared" si="1"/>
        <v>NoDur</v>
      </c>
      <c r="G59" s="6">
        <v>1.8E-3</v>
      </c>
      <c r="H59" s="7" t="s">
        <v>277</v>
      </c>
    </row>
    <row r="60" spans="1:12" x14ac:dyDescent="0.4">
      <c r="A60" s="3">
        <v>126</v>
      </c>
      <c r="B60" s="4" t="s">
        <v>296</v>
      </c>
      <c r="C60" s="5" t="s">
        <v>297</v>
      </c>
      <c r="D60" s="10" t="s">
        <v>523</v>
      </c>
      <c r="E60" s="7">
        <v>8</v>
      </c>
      <c r="F60" s="2" t="str">
        <f t="shared" si="1"/>
        <v>Utils</v>
      </c>
      <c r="G60" s="6">
        <v>1.6000000000000001E-3</v>
      </c>
      <c r="H60" s="7" t="s">
        <v>298</v>
      </c>
    </row>
    <row r="61" spans="1:12" x14ac:dyDescent="0.4">
      <c r="A61" s="3">
        <v>128</v>
      </c>
      <c r="B61" s="4" t="s">
        <v>299</v>
      </c>
      <c r="C61" s="5" t="s">
        <v>300</v>
      </c>
      <c r="D61" s="10" t="s">
        <v>544</v>
      </c>
      <c r="E61" s="7">
        <v>5</v>
      </c>
      <c r="F61" s="2" t="str">
        <f t="shared" si="1"/>
        <v>Chems</v>
      </c>
      <c r="G61" s="6">
        <v>1.5E-3</v>
      </c>
      <c r="H61" s="7" t="s">
        <v>301</v>
      </c>
      <c r="I61" s="31"/>
    </row>
    <row r="62" spans="1:12" x14ac:dyDescent="0.4">
      <c r="A62" s="3">
        <v>130</v>
      </c>
      <c r="B62" s="4" t="s">
        <v>302</v>
      </c>
      <c r="C62" s="5" t="s">
        <v>303</v>
      </c>
      <c r="D62" s="10" t="s">
        <v>545</v>
      </c>
      <c r="E62" s="7">
        <v>1</v>
      </c>
      <c r="F62" s="2" t="str">
        <f t="shared" si="1"/>
        <v>NoDur</v>
      </c>
      <c r="G62" s="6">
        <v>1.5E-3</v>
      </c>
      <c r="H62" s="7" t="s">
        <v>304</v>
      </c>
    </row>
    <row r="63" spans="1:12" x14ac:dyDescent="0.4">
      <c r="A63" s="3">
        <v>131</v>
      </c>
      <c r="B63" s="4" t="s">
        <v>305</v>
      </c>
      <c r="C63" s="5" t="s">
        <v>306</v>
      </c>
      <c r="D63" s="10" t="s">
        <v>546</v>
      </c>
      <c r="E63" s="7">
        <v>8</v>
      </c>
      <c r="F63" s="2" t="str">
        <f t="shared" si="1"/>
        <v>Utils</v>
      </c>
      <c r="G63" s="6">
        <v>1.5E-3</v>
      </c>
      <c r="H63" s="7" t="s">
        <v>307</v>
      </c>
    </row>
    <row r="64" spans="1:12" x14ac:dyDescent="0.4">
      <c r="A64" s="3">
        <v>146</v>
      </c>
      <c r="B64" s="4" t="s">
        <v>326</v>
      </c>
      <c r="C64" s="5" t="s">
        <v>327</v>
      </c>
      <c r="D64" s="10" t="s">
        <v>485</v>
      </c>
      <c r="E64" s="7">
        <v>5</v>
      </c>
      <c r="F64" s="2" t="str">
        <f t="shared" si="1"/>
        <v>Chems</v>
      </c>
      <c r="G64" s="6">
        <v>1.2999999999999999E-3</v>
      </c>
      <c r="H64" s="7" t="s">
        <v>328</v>
      </c>
    </row>
    <row r="65" spans="1:12" x14ac:dyDescent="0.4">
      <c r="A65" s="3">
        <v>148</v>
      </c>
      <c r="B65" s="4" t="s">
        <v>329</v>
      </c>
      <c r="C65" s="5" t="s">
        <v>330</v>
      </c>
      <c r="D65" s="10" t="s">
        <v>551</v>
      </c>
      <c r="E65" s="7">
        <v>4</v>
      </c>
      <c r="F65" s="2" t="str">
        <f t="shared" si="1"/>
        <v>Enrgy</v>
      </c>
      <c r="G65" s="6">
        <v>1.2999999999999999E-3</v>
      </c>
      <c r="H65" s="7" t="s">
        <v>331</v>
      </c>
    </row>
    <row r="66" spans="1:12" x14ac:dyDescent="0.4">
      <c r="A66" s="3">
        <v>153</v>
      </c>
      <c r="B66" s="4" t="s">
        <v>335</v>
      </c>
      <c r="C66" s="5" t="s">
        <v>336</v>
      </c>
      <c r="D66" s="10" t="s">
        <v>494</v>
      </c>
      <c r="E66" s="7">
        <v>5</v>
      </c>
      <c r="F66" s="2" t="str">
        <f t="shared" si="1"/>
        <v>Chems</v>
      </c>
      <c r="G66" s="6">
        <v>1.2999999999999999E-3</v>
      </c>
      <c r="H66" s="7" t="s">
        <v>337</v>
      </c>
    </row>
    <row r="67" spans="1:12" x14ac:dyDescent="0.4">
      <c r="A67" s="3">
        <v>162</v>
      </c>
      <c r="B67" s="4" t="s">
        <v>338</v>
      </c>
      <c r="C67" s="5" t="s">
        <v>339</v>
      </c>
      <c r="D67" s="10" t="s">
        <v>523</v>
      </c>
      <c r="E67" s="7">
        <v>8</v>
      </c>
      <c r="F67" s="2" t="str">
        <f t="shared" si="1"/>
        <v>Utils</v>
      </c>
      <c r="G67" s="6">
        <v>1.1999999999999999E-3</v>
      </c>
      <c r="H67" s="7" t="s">
        <v>340</v>
      </c>
    </row>
    <row r="68" spans="1:12" x14ac:dyDescent="0.4">
      <c r="A68" s="3">
        <v>175</v>
      </c>
      <c r="B68" s="4" t="s">
        <v>344</v>
      </c>
      <c r="C68" s="5" t="s">
        <v>345</v>
      </c>
      <c r="D68" s="10" t="s">
        <v>546</v>
      </c>
      <c r="E68" s="7">
        <v>8</v>
      </c>
      <c r="F68" s="2" t="str">
        <f t="shared" si="1"/>
        <v>Utils</v>
      </c>
      <c r="G68" s="6">
        <v>1.1000000000000001E-3</v>
      </c>
      <c r="H68" s="7" t="s">
        <v>346</v>
      </c>
    </row>
    <row r="69" spans="1:12" x14ac:dyDescent="0.4">
      <c r="A69" s="17">
        <v>178</v>
      </c>
      <c r="B69" s="18" t="s">
        <v>347</v>
      </c>
      <c r="C69" s="19" t="s">
        <v>348</v>
      </c>
      <c r="D69" s="20" t="s">
        <v>553</v>
      </c>
      <c r="E69" s="21">
        <v>8</v>
      </c>
      <c r="F69" s="22" t="str">
        <f t="shared" si="1"/>
        <v>Utils</v>
      </c>
      <c r="G69" s="23">
        <v>1.1000000000000001E-3</v>
      </c>
      <c r="H69" s="21" t="s">
        <v>349</v>
      </c>
    </row>
    <row r="70" spans="1:12" s="16" customFormat="1" x14ac:dyDescent="0.4">
      <c r="A70" s="3">
        <v>190</v>
      </c>
      <c r="B70" s="4" t="s">
        <v>353</v>
      </c>
      <c r="C70" s="5" t="s">
        <v>354</v>
      </c>
      <c r="D70" s="10" t="s">
        <v>555</v>
      </c>
      <c r="E70" s="7">
        <v>4</v>
      </c>
      <c r="F70" s="2" t="str">
        <f t="shared" si="1"/>
        <v>Enrgy</v>
      </c>
      <c r="G70" s="6">
        <v>1E-3</v>
      </c>
      <c r="H70" s="7" t="s">
        <v>355</v>
      </c>
      <c r="J70" s="2"/>
      <c r="K70" s="2"/>
      <c r="L70" s="2"/>
    </row>
    <row r="71" spans="1:12" s="16" customFormat="1" x14ac:dyDescent="0.4">
      <c r="A71" s="3">
        <v>191</v>
      </c>
      <c r="B71" s="4" t="s">
        <v>356</v>
      </c>
      <c r="C71" s="5" t="s">
        <v>357</v>
      </c>
      <c r="D71" s="10" t="s">
        <v>478</v>
      </c>
      <c r="E71" s="7">
        <v>2</v>
      </c>
      <c r="F71" s="2" t="str">
        <f t="shared" si="1"/>
        <v>Durbl</v>
      </c>
      <c r="G71" s="6">
        <v>1E-3</v>
      </c>
      <c r="H71" s="7" t="s">
        <v>358</v>
      </c>
      <c r="J71" s="2"/>
      <c r="K71" s="2"/>
      <c r="L71" s="2"/>
    </row>
    <row r="72" spans="1:12" s="16" customFormat="1" x14ac:dyDescent="0.4">
      <c r="A72" s="3">
        <v>201</v>
      </c>
      <c r="B72" s="4" t="s">
        <v>371</v>
      </c>
      <c r="C72" s="5" t="s">
        <v>372</v>
      </c>
      <c r="D72" s="10" t="s">
        <v>544</v>
      </c>
      <c r="E72" s="7">
        <v>5</v>
      </c>
      <c r="F72" s="2" t="str">
        <f t="shared" si="1"/>
        <v>Chems</v>
      </c>
      <c r="G72" s="6">
        <v>1E-3</v>
      </c>
      <c r="H72" s="7" t="s">
        <v>373</v>
      </c>
      <c r="J72" s="2"/>
      <c r="K72" s="2"/>
      <c r="L72" s="2"/>
    </row>
    <row r="73" spans="1:12" s="16" customFormat="1" x14ac:dyDescent="0.4">
      <c r="A73" s="3">
        <v>211</v>
      </c>
      <c r="B73" s="4" t="s">
        <v>374</v>
      </c>
      <c r="C73" s="5" t="s">
        <v>375</v>
      </c>
      <c r="D73" s="10" t="s">
        <v>483</v>
      </c>
      <c r="E73" s="7">
        <v>4</v>
      </c>
      <c r="F73" s="2" t="str">
        <f t="shared" si="1"/>
        <v>Enrgy</v>
      </c>
      <c r="G73" s="6">
        <v>8.9999999999999998E-4</v>
      </c>
      <c r="H73" s="7" t="s">
        <v>376</v>
      </c>
      <c r="J73" s="2"/>
      <c r="K73" s="2"/>
      <c r="L73" s="2"/>
    </row>
    <row r="74" spans="1:12" s="16" customFormat="1" x14ac:dyDescent="0.4">
      <c r="A74" s="3">
        <v>213</v>
      </c>
      <c r="B74" s="4" t="s">
        <v>377</v>
      </c>
      <c r="C74" s="5" t="s">
        <v>378</v>
      </c>
      <c r="D74" s="10" t="s">
        <v>483</v>
      </c>
      <c r="E74" s="7">
        <v>4</v>
      </c>
      <c r="F74" s="2" t="str">
        <f t="shared" si="1"/>
        <v>Enrgy</v>
      </c>
      <c r="G74" s="6">
        <v>8.9999999999999998E-4</v>
      </c>
      <c r="H74" s="7" t="s">
        <v>379</v>
      </c>
      <c r="J74" s="2"/>
      <c r="K74" s="2"/>
      <c r="L74" s="2"/>
    </row>
    <row r="75" spans="1:12" s="16" customFormat="1" x14ac:dyDescent="0.4">
      <c r="A75" s="3">
        <v>214</v>
      </c>
      <c r="B75" s="4" t="s">
        <v>380</v>
      </c>
      <c r="C75" s="5" t="s">
        <v>381</v>
      </c>
      <c r="D75" s="10" t="s">
        <v>558</v>
      </c>
      <c r="E75" s="7">
        <v>1</v>
      </c>
      <c r="F75" s="2" t="str">
        <f t="shared" si="1"/>
        <v>NoDur</v>
      </c>
      <c r="G75" s="6">
        <v>8.9999999999999998E-4</v>
      </c>
      <c r="H75" s="7" t="s">
        <v>382</v>
      </c>
      <c r="J75" s="2"/>
      <c r="K75" s="2"/>
      <c r="L75" s="2"/>
    </row>
    <row r="76" spans="1:12" s="16" customFormat="1" x14ac:dyDescent="0.4">
      <c r="A76" s="17">
        <v>217</v>
      </c>
      <c r="B76" s="18" t="s">
        <v>383</v>
      </c>
      <c r="C76" s="19" t="s">
        <v>384</v>
      </c>
      <c r="D76" s="20" t="s">
        <v>559</v>
      </c>
      <c r="E76" s="21">
        <v>1</v>
      </c>
      <c r="F76" s="22" t="str">
        <f t="shared" si="1"/>
        <v>NoDur</v>
      </c>
      <c r="G76" s="23">
        <v>8.9999999999999998E-4</v>
      </c>
      <c r="H76" s="21" t="s">
        <v>385</v>
      </c>
      <c r="J76" s="2"/>
      <c r="K76" s="2"/>
      <c r="L76" s="2"/>
    </row>
    <row r="77" spans="1:12" s="16" customFormat="1" x14ac:dyDescent="0.4">
      <c r="A77" s="3">
        <v>225</v>
      </c>
      <c r="B77" s="4" t="s">
        <v>389</v>
      </c>
      <c r="C77" s="5" t="s">
        <v>390</v>
      </c>
      <c r="D77" s="10" t="s">
        <v>478</v>
      </c>
      <c r="E77" s="7">
        <v>2</v>
      </c>
      <c r="F77" s="2" t="str">
        <f t="shared" si="1"/>
        <v>Durbl</v>
      </c>
      <c r="G77" s="6">
        <v>8.0000000000000004E-4</v>
      </c>
      <c r="H77" s="7" t="s">
        <v>391</v>
      </c>
      <c r="J77" s="2"/>
      <c r="K77" s="2"/>
      <c r="L77" s="2"/>
    </row>
    <row r="78" spans="1:12" s="16" customFormat="1" x14ac:dyDescent="0.4">
      <c r="A78" s="3">
        <v>233</v>
      </c>
      <c r="B78" s="4" t="s">
        <v>392</v>
      </c>
      <c r="C78" s="5" t="s">
        <v>393</v>
      </c>
      <c r="D78" s="10" t="s">
        <v>525</v>
      </c>
      <c r="E78" s="7">
        <v>7</v>
      </c>
      <c r="F78" s="2" t="str">
        <f t="shared" si="1"/>
        <v>Telcm</v>
      </c>
      <c r="G78" s="6">
        <v>8.0000000000000004E-4</v>
      </c>
      <c r="H78" s="7" t="s">
        <v>394</v>
      </c>
      <c r="J78" s="2"/>
      <c r="K78" s="2"/>
      <c r="L78" s="2"/>
    </row>
    <row r="79" spans="1:12" s="16" customFormat="1" x14ac:dyDescent="0.4">
      <c r="A79" s="17">
        <v>236</v>
      </c>
      <c r="B79" s="18" t="s">
        <v>395</v>
      </c>
      <c r="C79" s="19" t="s">
        <v>396</v>
      </c>
      <c r="D79" s="20" t="s">
        <v>483</v>
      </c>
      <c r="E79" s="21">
        <v>4</v>
      </c>
      <c r="F79" s="22" t="str">
        <f t="shared" si="1"/>
        <v>Enrgy</v>
      </c>
      <c r="G79" s="23">
        <v>8.0000000000000004E-4</v>
      </c>
      <c r="H79" s="21" t="s">
        <v>397</v>
      </c>
      <c r="J79" s="2"/>
      <c r="K79" s="2"/>
      <c r="L79" s="2"/>
    </row>
    <row r="80" spans="1:12" s="16" customFormat="1" x14ac:dyDescent="0.4">
      <c r="A80" s="3">
        <v>284</v>
      </c>
      <c r="B80" s="4" t="s">
        <v>413</v>
      </c>
      <c r="C80" s="5" t="s">
        <v>414</v>
      </c>
      <c r="D80" s="10" t="s">
        <v>562</v>
      </c>
      <c r="E80" s="7">
        <v>5</v>
      </c>
      <c r="F80" s="2" t="str">
        <f t="shared" si="1"/>
        <v>Chems</v>
      </c>
      <c r="G80" s="6">
        <v>5.9999999999999995E-4</v>
      </c>
      <c r="H80" s="7" t="s">
        <v>415</v>
      </c>
      <c r="J80" s="2"/>
      <c r="K80" s="2"/>
      <c r="L80" s="2"/>
    </row>
    <row r="81" spans="1:12" s="16" customFormat="1" x14ac:dyDescent="0.4">
      <c r="A81" s="17">
        <v>300</v>
      </c>
      <c r="B81" s="18" t="s">
        <v>419</v>
      </c>
      <c r="C81" s="19" t="s">
        <v>420</v>
      </c>
      <c r="D81" s="20" t="s">
        <v>563</v>
      </c>
      <c r="E81" s="21">
        <v>5</v>
      </c>
      <c r="F81" s="22" t="str">
        <f t="shared" si="1"/>
        <v>Chems</v>
      </c>
      <c r="G81" s="23">
        <v>5.0000000000000001E-4</v>
      </c>
      <c r="H81" s="21" t="s">
        <v>421</v>
      </c>
      <c r="J81" s="2"/>
      <c r="K81" s="2"/>
      <c r="L81" s="2"/>
    </row>
    <row r="82" spans="1:12" s="16" customFormat="1" x14ac:dyDescent="0.4">
      <c r="A82" s="3">
        <v>341</v>
      </c>
      <c r="B82" s="4" t="s">
        <v>437</v>
      </c>
      <c r="C82" s="5" t="s">
        <v>438</v>
      </c>
      <c r="D82" s="10" t="s">
        <v>566</v>
      </c>
      <c r="E82" s="7">
        <v>2</v>
      </c>
      <c r="F82" s="2" t="str">
        <f t="shared" si="1"/>
        <v>Durbl</v>
      </c>
      <c r="G82" s="6">
        <v>4.0000000000000002E-4</v>
      </c>
      <c r="H82" s="7" t="s">
        <v>439</v>
      </c>
      <c r="J82" s="2"/>
      <c r="K82" s="2"/>
      <c r="L82" s="2"/>
    </row>
    <row r="83" spans="1:12" s="16" customFormat="1" x14ac:dyDescent="0.4">
      <c r="A83" s="3">
        <v>363</v>
      </c>
      <c r="B83" s="4" t="s">
        <v>443</v>
      </c>
      <c r="C83" s="5" t="s">
        <v>444</v>
      </c>
      <c r="D83" s="10" t="s">
        <v>525</v>
      </c>
      <c r="E83" s="7">
        <v>7</v>
      </c>
      <c r="F83" s="2" t="str">
        <f t="shared" si="1"/>
        <v>Telcm</v>
      </c>
      <c r="G83" s="6">
        <v>4.0000000000000002E-4</v>
      </c>
      <c r="H83" s="7" t="s">
        <v>445</v>
      </c>
      <c r="J83" s="2"/>
      <c r="K83" s="2"/>
      <c r="L83" s="2"/>
    </row>
    <row r="84" spans="1:12" s="16" customFormat="1" x14ac:dyDescent="0.4">
      <c r="A84" s="3">
        <v>422</v>
      </c>
      <c r="B84" s="4" t="s">
        <v>449</v>
      </c>
      <c r="C84" s="5" t="s">
        <v>450</v>
      </c>
      <c r="D84" s="10" t="s">
        <v>570</v>
      </c>
      <c r="E84" s="7">
        <v>2</v>
      </c>
      <c r="F84" s="2" t="str">
        <f t="shared" si="1"/>
        <v>Durbl</v>
      </c>
      <c r="G84" s="6">
        <v>2.9999999999999997E-4</v>
      </c>
      <c r="H84" s="7" t="s">
        <v>451</v>
      </c>
      <c r="J84" s="2"/>
      <c r="K84" s="2"/>
      <c r="L84" s="2"/>
    </row>
    <row r="85" spans="1:12" s="16" customFormat="1" x14ac:dyDescent="0.4">
      <c r="A85" s="3">
        <v>445</v>
      </c>
      <c r="B85" s="4" t="s">
        <v>452</v>
      </c>
      <c r="C85" s="5" t="s">
        <v>453</v>
      </c>
      <c r="D85" s="10" t="s">
        <v>571</v>
      </c>
      <c r="E85" s="7">
        <v>7</v>
      </c>
      <c r="F85" s="2" t="str">
        <f>VLOOKUP(E85, I$2:J$13, 2,TRUE)</f>
        <v>Telcm</v>
      </c>
      <c r="G85" s="6">
        <v>2.0000000000000001E-4</v>
      </c>
      <c r="H85" s="7" t="s">
        <v>454</v>
      </c>
      <c r="J85" s="2"/>
      <c r="K85" s="2"/>
      <c r="L85" s="2"/>
    </row>
    <row r="86" spans="1:12" s="16" customFormat="1" x14ac:dyDescent="0.4">
      <c r="A86" s="3">
        <v>478</v>
      </c>
      <c r="B86" s="4" t="s">
        <v>461</v>
      </c>
      <c r="C86" s="5" t="s">
        <v>462</v>
      </c>
      <c r="D86" s="10" t="s">
        <v>572</v>
      </c>
      <c r="E86" s="7">
        <v>2</v>
      </c>
      <c r="F86" s="2" t="str">
        <f t="shared" si="1"/>
        <v>Durbl</v>
      </c>
      <c r="G86" s="6">
        <v>2.0000000000000001E-4</v>
      </c>
      <c r="H86" s="7" t="s">
        <v>463</v>
      </c>
      <c r="J86" s="2"/>
      <c r="K86" s="2"/>
      <c r="L86" s="2"/>
    </row>
    <row r="87" spans="1:12" s="16" customFormat="1" x14ac:dyDescent="0.4">
      <c r="A87" s="17">
        <v>491</v>
      </c>
      <c r="B87" s="18" t="s">
        <v>464</v>
      </c>
      <c r="C87" s="19" t="s">
        <v>465</v>
      </c>
      <c r="D87" s="20" t="s">
        <v>571</v>
      </c>
      <c r="E87" s="21">
        <v>7</v>
      </c>
      <c r="F87" s="22" t="str">
        <f t="shared" si="1"/>
        <v>Telcm</v>
      </c>
      <c r="G87" s="23">
        <v>1E-4</v>
      </c>
      <c r="H87" s="21" t="s">
        <v>466</v>
      </c>
      <c r="J87" s="2"/>
      <c r="K87" s="2"/>
      <c r="L87" s="2"/>
    </row>
    <row r="88" spans="1:12" s="16" customFormat="1" x14ac:dyDescent="0.4">
      <c r="B88" s="2"/>
      <c r="C88" s="2"/>
      <c r="D88" s="2"/>
    </row>
    <row r="89" spans="1:12" s="16" customFormat="1" x14ac:dyDescent="0.4">
      <c r="B89" s="2"/>
      <c r="C89" s="2"/>
      <c r="D89" s="2"/>
    </row>
    <row r="90" spans="1:12" s="16" customFormat="1" x14ac:dyDescent="0.4">
      <c r="B90" s="2"/>
      <c r="C90" s="2"/>
      <c r="D90" s="2"/>
    </row>
    <row r="91" spans="1:12" s="16" customFormat="1" x14ac:dyDescent="0.4">
      <c r="B91" s="2"/>
      <c r="C91" s="2"/>
      <c r="D91" s="2"/>
    </row>
    <row r="92" spans="1:12" s="16" customFormat="1" x14ac:dyDescent="0.4">
      <c r="B92" s="2"/>
      <c r="C92" s="2"/>
      <c r="D92" s="2"/>
    </row>
    <row r="93" spans="1:12" s="16" customFormat="1" x14ac:dyDescent="0.4">
      <c r="B93" s="2"/>
      <c r="C93" s="2"/>
      <c r="D93" s="2"/>
    </row>
    <row r="94" spans="1:12" s="16" customFormat="1" x14ac:dyDescent="0.4">
      <c r="B94" s="2"/>
      <c r="C94" s="2"/>
      <c r="D94" s="2"/>
    </row>
    <row r="95" spans="1:12" s="16" customFormat="1" x14ac:dyDescent="0.4">
      <c r="B95" s="2"/>
      <c r="C95" s="2"/>
      <c r="D95" s="2"/>
    </row>
    <row r="96" spans="1:12" s="16" customFormat="1" x14ac:dyDescent="0.4">
      <c r="B96" s="2"/>
      <c r="C96" s="2"/>
      <c r="D96" s="2"/>
    </row>
    <row r="97" spans="2:4" s="16" customFormat="1" x14ac:dyDescent="0.4">
      <c r="B97" s="2"/>
      <c r="C97" s="2"/>
      <c r="D97" s="2"/>
    </row>
    <row r="98" spans="2:4" s="16" customFormat="1" x14ac:dyDescent="0.4">
      <c r="B98" s="2"/>
      <c r="C98" s="2"/>
      <c r="D98" s="2"/>
    </row>
    <row r="99" spans="2:4" s="16" customFormat="1" x14ac:dyDescent="0.4">
      <c r="B99" s="2"/>
      <c r="C99" s="2"/>
      <c r="D99" s="2"/>
    </row>
    <row r="100" spans="2:4" s="16" customFormat="1" x14ac:dyDescent="0.4">
      <c r="B100" s="2"/>
      <c r="C100" s="2"/>
      <c r="D100" s="2"/>
    </row>
    <row r="101" spans="2:4" s="16" customFormat="1" x14ac:dyDescent="0.4">
      <c r="B101" s="2"/>
      <c r="C101" s="2"/>
      <c r="D101" s="2"/>
    </row>
    <row r="102" spans="2:4" s="16" customFormat="1" x14ac:dyDescent="0.4">
      <c r="B102" s="2"/>
      <c r="C102" s="2"/>
      <c r="D102" s="2"/>
    </row>
    <row r="103" spans="2:4" s="16" customFormat="1" x14ac:dyDescent="0.4">
      <c r="B103" s="2"/>
      <c r="C103" s="2"/>
      <c r="D103" s="2"/>
    </row>
    <row r="104" spans="2:4" s="16" customFormat="1" x14ac:dyDescent="0.4">
      <c r="B104" s="2"/>
      <c r="C104" s="2"/>
      <c r="D104" s="2"/>
    </row>
    <row r="105" spans="2:4" s="16" customFormat="1" x14ac:dyDescent="0.4">
      <c r="B105" s="2"/>
      <c r="C105" s="2"/>
      <c r="D105" s="2"/>
    </row>
    <row r="106" spans="2:4" s="16" customFormat="1" x14ac:dyDescent="0.4">
      <c r="B106" s="2"/>
      <c r="C106" s="2"/>
      <c r="D106" s="2"/>
    </row>
    <row r="107" spans="2:4" s="16" customFormat="1" x14ac:dyDescent="0.4">
      <c r="B107" s="2"/>
      <c r="C107" s="2"/>
      <c r="D107" s="2"/>
    </row>
    <row r="108" spans="2:4" s="16" customFormat="1" x14ac:dyDescent="0.4">
      <c r="B108" s="2"/>
      <c r="C108" s="2"/>
      <c r="D108" s="2"/>
    </row>
    <row r="109" spans="2:4" s="16" customFormat="1" x14ac:dyDescent="0.4">
      <c r="B109" s="2"/>
      <c r="C109" s="2"/>
      <c r="D109" s="2"/>
    </row>
    <row r="110" spans="2:4" s="16" customFormat="1" x14ac:dyDescent="0.4">
      <c r="B110" s="2"/>
      <c r="C110" s="2"/>
      <c r="D110" s="2"/>
    </row>
    <row r="111" spans="2:4" s="16" customFormat="1" x14ac:dyDescent="0.4">
      <c r="B111" s="2"/>
      <c r="C111" s="2"/>
      <c r="D111" s="2"/>
    </row>
    <row r="112" spans="2:4" s="16" customFormat="1" x14ac:dyDescent="0.4">
      <c r="B112" s="2"/>
      <c r="C112" s="2"/>
      <c r="D112" s="2"/>
    </row>
    <row r="113" spans="2:4" s="16" customFormat="1" x14ac:dyDescent="0.4">
      <c r="B113" s="2"/>
      <c r="C113" s="2"/>
      <c r="D113" s="2"/>
    </row>
    <row r="114" spans="2:4" s="16" customFormat="1" x14ac:dyDescent="0.4">
      <c r="B114" s="2"/>
      <c r="C114" s="2"/>
      <c r="D114" s="2"/>
    </row>
    <row r="115" spans="2:4" s="16" customFormat="1" x14ac:dyDescent="0.4">
      <c r="B115" s="2"/>
      <c r="C115" s="2"/>
      <c r="D115" s="2"/>
    </row>
    <row r="116" spans="2:4" s="16" customFormat="1" x14ac:dyDescent="0.4">
      <c r="B116" s="2"/>
      <c r="C116" s="2"/>
      <c r="D116" s="2"/>
    </row>
    <row r="117" spans="2:4" s="16" customFormat="1" x14ac:dyDescent="0.4">
      <c r="B117" s="2"/>
      <c r="C117" s="2"/>
      <c r="D117" s="2"/>
    </row>
    <row r="118" spans="2:4" s="16" customFormat="1" x14ac:dyDescent="0.4">
      <c r="B118" s="2"/>
      <c r="C118" s="2"/>
      <c r="D118" s="2"/>
    </row>
    <row r="119" spans="2:4" s="16" customFormat="1" x14ac:dyDescent="0.4">
      <c r="B119" s="2"/>
      <c r="C119" s="2"/>
      <c r="D119" s="2"/>
    </row>
    <row r="120" spans="2:4" s="16" customFormat="1" x14ac:dyDescent="0.4">
      <c r="B120" s="2"/>
      <c r="C120" s="2"/>
      <c r="D120" s="2"/>
    </row>
    <row r="121" spans="2:4" s="16" customFormat="1" x14ac:dyDescent="0.4">
      <c r="B121" s="2"/>
      <c r="C121" s="2"/>
      <c r="D121" s="2"/>
    </row>
    <row r="122" spans="2:4" s="16" customFormat="1" x14ac:dyDescent="0.4">
      <c r="B122" s="2"/>
      <c r="C122" s="2"/>
      <c r="D122" s="2"/>
    </row>
    <row r="123" spans="2:4" s="16" customFormat="1" x14ac:dyDescent="0.4">
      <c r="B123" s="2"/>
      <c r="C123" s="2"/>
      <c r="D123" s="2"/>
    </row>
    <row r="124" spans="2:4" s="16" customFormat="1" x14ac:dyDescent="0.4">
      <c r="B124" s="2"/>
      <c r="C124" s="2"/>
      <c r="D124" s="2"/>
    </row>
    <row r="125" spans="2:4" s="16" customFormat="1" x14ac:dyDescent="0.4">
      <c r="B125" s="2"/>
      <c r="C125" s="2"/>
      <c r="D125" s="2"/>
    </row>
    <row r="126" spans="2:4" s="16" customFormat="1" x14ac:dyDescent="0.4">
      <c r="B126" s="2"/>
      <c r="C126" s="2"/>
      <c r="D126" s="2"/>
    </row>
    <row r="127" spans="2:4" s="16" customFormat="1" x14ac:dyDescent="0.4">
      <c r="B127" s="2"/>
      <c r="C127" s="2"/>
      <c r="D127" s="2"/>
    </row>
    <row r="128" spans="2:4" s="16" customFormat="1" x14ac:dyDescent="0.4">
      <c r="B128" s="2"/>
      <c r="C128" s="2"/>
      <c r="D128" s="2"/>
    </row>
    <row r="129" spans="2:4" s="16" customFormat="1" x14ac:dyDescent="0.4">
      <c r="B129" s="2"/>
      <c r="C129" s="2"/>
      <c r="D129" s="2"/>
    </row>
    <row r="130" spans="2:4" s="16" customFormat="1" x14ac:dyDescent="0.4">
      <c r="B130" s="2"/>
      <c r="C130" s="2"/>
      <c r="D130" s="2"/>
    </row>
    <row r="131" spans="2:4" s="16" customFormat="1" x14ac:dyDescent="0.4">
      <c r="B131" s="2"/>
      <c r="C131" s="2"/>
      <c r="D131" s="2"/>
    </row>
    <row r="132" spans="2:4" s="16" customFormat="1" x14ac:dyDescent="0.4">
      <c r="B132" s="2"/>
      <c r="C132" s="2"/>
      <c r="D132" s="2"/>
    </row>
    <row r="133" spans="2:4" s="16" customFormat="1" x14ac:dyDescent="0.4">
      <c r="B133" s="2"/>
      <c r="C133" s="2"/>
      <c r="D133" s="2"/>
    </row>
    <row r="134" spans="2:4" s="16" customFormat="1" x14ac:dyDescent="0.4">
      <c r="B134" s="2"/>
      <c r="C134" s="2"/>
      <c r="D134" s="2"/>
    </row>
    <row r="135" spans="2:4" s="16" customFormat="1" x14ac:dyDescent="0.4">
      <c r="B135" s="2"/>
      <c r="C135" s="2"/>
      <c r="D135" s="2"/>
    </row>
    <row r="136" spans="2:4" s="16" customFormat="1" x14ac:dyDescent="0.4">
      <c r="B136" s="2"/>
      <c r="C136" s="2"/>
      <c r="D136" s="2"/>
    </row>
    <row r="137" spans="2:4" s="16" customFormat="1" x14ac:dyDescent="0.4">
      <c r="B137" s="2"/>
      <c r="C137" s="2"/>
      <c r="D137" s="2"/>
    </row>
    <row r="138" spans="2:4" s="16" customFormat="1" x14ac:dyDescent="0.4">
      <c r="B138" s="2"/>
      <c r="C138" s="2"/>
      <c r="D138" s="2"/>
    </row>
    <row r="139" spans="2:4" s="16" customFormat="1" x14ac:dyDescent="0.4">
      <c r="B139" s="2"/>
      <c r="C139" s="2"/>
      <c r="D139" s="2"/>
    </row>
    <row r="140" spans="2:4" s="16" customFormat="1" x14ac:dyDescent="0.4">
      <c r="B140" s="2"/>
      <c r="C140" s="2"/>
      <c r="D140" s="2"/>
    </row>
    <row r="141" spans="2:4" s="16" customFormat="1" x14ac:dyDescent="0.4">
      <c r="B141" s="2"/>
      <c r="C141" s="2"/>
      <c r="D141" s="2"/>
    </row>
    <row r="142" spans="2:4" s="16" customFormat="1" x14ac:dyDescent="0.4">
      <c r="B142" s="2"/>
      <c r="C142" s="2"/>
      <c r="D142" s="2"/>
    </row>
    <row r="143" spans="2:4" s="16" customFormat="1" x14ac:dyDescent="0.4">
      <c r="B143" s="2"/>
      <c r="C143" s="2"/>
      <c r="D143" s="2"/>
    </row>
    <row r="144" spans="2:4" s="16" customFormat="1" x14ac:dyDescent="0.4">
      <c r="B144" s="2"/>
      <c r="C144" s="2"/>
      <c r="D144" s="2"/>
    </row>
    <row r="145" spans="2:4" s="16" customFormat="1" x14ac:dyDescent="0.4">
      <c r="B145" s="2"/>
      <c r="C145" s="2"/>
      <c r="D145" s="2"/>
    </row>
    <row r="146" spans="2:4" s="16" customFormat="1" x14ac:dyDescent="0.4">
      <c r="B146" s="2"/>
      <c r="C146" s="2"/>
      <c r="D146" s="2"/>
    </row>
    <row r="147" spans="2:4" s="16" customFormat="1" x14ac:dyDescent="0.4">
      <c r="B147" s="2"/>
      <c r="C147" s="2"/>
      <c r="D147" s="2"/>
    </row>
    <row r="148" spans="2:4" s="16" customFormat="1" x14ac:dyDescent="0.4">
      <c r="B148" s="2"/>
      <c r="C148" s="2"/>
      <c r="D148" s="2"/>
    </row>
    <row r="149" spans="2:4" s="16" customFormat="1" x14ac:dyDescent="0.4">
      <c r="B149" s="2"/>
      <c r="C149" s="2"/>
      <c r="D149" s="2"/>
    </row>
    <row r="150" spans="2:4" s="16" customFormat="1" x14ac:dyDescent="0.4">
      <c r="B150" s="2"/>
      <c r="C150" s="2"/>
      <c r="D150" s="2"/>
    </row>
    <row r="151" spans="2:4" s="16" customFormat="1" x14ac:dyDescent="0.4">
      <c r="B151" s="2"/>
      <c r="C151" s="2"/>
      <c r="D151" s="2"/>
    </row>
    <row r="152" spans="2:4" s="16" customFormat="1" x14ac:dyDescent="0.4">
      <c r="B152" s="2"/>
      <c r="C152" s="2"/>
      <c r="D152" s="2"/>
    </row>
    <row r="153" spans="2:4" s="16" customFormat="1" x14ac:dyDescent="0.4">
      <c r="B153" s="2"/>
      <c r="C153" s="2"/>
      <c r="D153" s="2"/>
    </row>
    <row r="154" spans="2:4" s="16" customFormat="1" x14ac:dyDescent="0.4">
      <c r="B154" s="2"/>
      <c r="C154" s="2"/>
      <c r="D154" s="2"/>
    </row>
    <row r="155" spans="2:4" s="16" customFormat="1" x14ac:dyDescent="0.4">
      <c r="B155" s="2"/>
      <c r="C155" s="2"/>
      <c r="D155" s="2"/>
    </row>
    <row r="156" spans="2:4" s="16" customFormat="1" x14ac:dyDescent="0.4">
      <c r="B156" s="2"/>
      <c r="C156" s="2"/>
      <c r="D156" s="2"/>
    </row>
    <row r="157" spans="2:4" s="16" customFormat="1" x14ac:dyDescent="0.4">
      <c r="B157" s="2"/>
      <c r="C157" s="2"/>
      <c r="D157" s="2"/>
    </row>
    <row r="158" spans="2:4" s="16" customFormat="1" x14ac:dyDescent="0.4">
      <c r="B158" s="2"/>
      <c r="C158" s="2"/>
      <c r="D158" s="2"/>
    </row>
    <row r="159" spans="2:4" s="16" customFormat="1" x14ac:dyDescent="0.4">
      <c r="B159" s="2"/>
      <c r="C159" s="2"/>
      <c r="D159" s="2"/>
    </row>
    <row r="160" spans="2:4" s="16" customFormat="1" x14ac:dyDescent="0.4">
      <c r="B160" s="2"/>
      <c r="C160" s="2"/>
      <c r="D160" s="2"/>
    </row>
    <row r="161" spans="2:4" s="16" customFormat="1" x14ac:dyDescent="0.4">
      <c r="B161" s="2"/>
      <c r="C161" s="2"/>
      <c r="D161" s="2"/>
    </row>
    <row r="162" spans="2:4" s="16" customFormat="1" x14ac:dyDescent="0.4">
      <c r="B162" s="2"/>
      <c r="C162" s="2"/>
      <c r="D162" s="2"/>
    </row>
    <row r="163" spans="2:4" s="16" customFormat="1" x14ac:dyDescent="0.4">
      <c r="B163" s="2"/>
      <c r="C163" s="2"/>
      <c r="D163" s="2"/>
    </row>
    <row r="164" spans="2:4" s="16" customFormat="1" x14ac:dyDescent="0.4">
      <c r="B164" s="2"/>
      <c r="C164" s="2"/>
      <c r="D164" s="2"/>
    </row>
    <row r="165" spans="2:4" s="16" customFormat="1" x14ac:dyDescent="0.4">
      <c r="B165" s="2"/>
      <c r="C165" s="2"/>
      <c r="D165" s="2"/>
    </row>
    <row r="166" spans="2:4" s="16" customFormat="1" x14ac:dyDescent="0.4">
      <c r="B166" s="2"/>
      <c r="C166" s="2"/>
      <c r="D166" s="2"/>
    </row>
    <row r="167" spans="2:4" s="16" customFormat="1" x14ac:dyDescent="0.4">
      <c r="B167" s="2"/>
      <c r="C167" s="2"/>
      <c r="D167" s="2"/>
    </row>
    <row r="168" spans="2:4" s="16" customFormat="1" x14ac:dyDescent="0.4">
      <c r="B168" s="2"/>
      <c r="C168" s="2"/>
      <c r="D168" s="2"/>
    </row>
    <row r="169" spans="2:4" s="16" customFormat="1" x14ac:dyDescent="0.4">
      <c r="B169" s="2"/>
      <c r="C169" s="2"/>
      <c r="D169" s="2"/>
    </row>
    <row r="170" spans="2:4" s="16" customFormat="1" x14ac:dyDescent="0.4">
      <c r="B170" s="2"/>
      <c r="C170" s="2"/>
      <c r="D170" s="2"/>
    </row>
    <row r="171" spans="2:4" s="16" customFormat="1" x14ac:dyDescent="0.4">
      <c r="B171" s="2"/>
      <c r="C171" s="2"/>
      <c r="D171" s="2"/>
    </row>
    <row r="172" spans="2:4" s="16" customFormat="1" x14ac:dyDescent="0.4">
      <c r="B172" s="2"/>
      <c r="C172" s="2"/>
      <c r="D172" s="2"/>
    </row>
    <row r="173" spans="2:4" s="16" customFormat="1" x14ac:dyDescent="0.4">
      <c r="B173" s="2"/>
      <c r="C173" s="2"/>
      <c r="D173" s="2"/>
    </row>
    <row r="174" spans="2:4" s="16" customFormat="1" x14ac:dyDescent="0.4">
      <c r="B174" s="2"/>
      <c r="C174" s="2"/>
      <c r="D174" s="2"/>
    </row>
    <row r="175" spans="2:4" s="16" customFormat="1" x14ac:dyDescent="0.4">
      <c r="B175" s="2"/>
      <c r="C175" s="2"/>
      <c r="D175" s="2"/>
    </row>
    <row r="176" spans="2:4" s="16" customFormat="1" x14ac:dyDescent="0.4">
      <c r="B176" s="2"/>
      <c r="C176" s="2"/>
      <c r="D176" s="2"/>
    </row>
    <row r="177" spans="2:4" s="16" customFormat="1" x14ac:dyDescent="0.4">
      <c r="B177" s="2"/>
      <c r="C177" s="2"/>
      <c r="D177" s="2"/>
    </row>
    <row r="178" spans="2:4" s="16" customFormat="1" x14ac:dyDescent="0.4">
      <c r="B178" s="2"/>
      <c r="C178" s="2"/>
      <c r="D178" s="2"/>
    </row>
    <row r="179" spans="2:4" s="16" customFormat="1" x14ac:dyDescent="0.4">
      <c r="B179" s="2"/>
      <c r="C179" s="2"/>
      <c r="D179" s="2"/>
    </row>
    <row r="180" spans="2:4" s="16" customFormat="1" x14ac:dyDescent="0.4">
      <c r="B180" s="2"/>
      <c r="C180" s="2"/>
      <c r="D180" s="2"/>
    </row>
    <row r="181" spans="2:4" s="16" customFormat="1" x14ac:dyDescent="0.4">
      <c r="B181" s="2"/>
      <c r="C181" s="2"/>
      <c r="D181" s="2"/>
    </row>
    <row r="182" spans="2:4" s="16" customFormat="1" x14ac:dyDescent="0.4">
      <c r="B182" s="2"/>
      <c r="C182" s="2"/>
      <c r="D182" s="2"/>
    </row>
    <row r="183" spans="2:4" s="16" customFormat="1" x14ac:dyDescent="0.4">
      <c r="B183" s="2"/>
      <c r="C183" s="2"/>
      <c r="D183" s="2"/>
    </row>
    <row r="184" spans="2:4" s="16" customFormat="1" x14ac:dyDescent="0.4">
      <c r="B184" s="2"/>
      <c r="C184" s="2"/>
      <c r="D184" s="2"/>
    </row>
    <row r="185" spans="2:4" s="16" customFormat="1" x14ac:dyDescent="0.4">
      <c r="B185" s="2"/>
      <c r="C185" s="2"/>
      <c r="D185" s="2"/>
    </row>
    <row r="186" spans="2:4" s="16" customFormat="1" x14ac:dyDescent="0.4">
      <c r="B186" s="2"/>
      <c r="C186" s="2"/>
      <c r="D186" s="2"/>
    </row>
    <row r="187" spans="2:4" s="16" customFormat="1" x14ac:dyDescent="0.4">
      <c r="B187" s="2"/>
      <c r="C187" s="2"/>
      <c r="D187" s="2"/>
    </row>
    <row r="188" spans="2:4" s="16" customFormat="1" x14ac:dyDescent="0.4">
      <c r="B188" s="2"/>
      <c r="C188" s="2"/>
      <c r="D188" s="2"/>
    </row>
    <row r="189" spans="2:4" s="16" customFormat="1" x14ac:dyDescent="0.4">
      <c r="B189" s="2"/>
      <c r="C189" s="2"/>
      <c r="D189" s="2"/>
    </row>
    <row r="190" spans="2:4" s="16" customFormat="1" x14ac:dyDescent="0.4">
      <c r="B190" s="2"/>
      <c r="C190" s="2"/>
      <c r="D190" s="2"/>
    </row>
    <row r="191" spans="2:4" s="16" customFormat="1" x14ac:dyDescent="0.4">
      <c r="B191" s="2"/>
      <c r="C191" s="2"/>
      <c r="D191" s="2"/>
    </row>
    <row r="192" spans="2:4" s="16" customFormat="1" x14ac:dyDescent="0.4">
      <c r="B192" s="2"/>
      <c r="C192" s="2"/>
      <c r="D192" s="2"/>
    </row>
    <row r="193" spans="2:4" s="16" customFormat="1" x14ac:dyDescent="0.4">
      <c r="B193" s="2"/>
      <c r="C193" s="2"/>
      <c r="D193" s="2"/>
    </row>
    <row r="194" spans="2:4" s="16" customFormat="1" x14ac:dyDescent="0.4">
      <c r="B194" s="2"/>
      <c r="C194" s="2"/>
      <c r="D194" s="2"/>
    </row>
    <row r="195" spans="2:4" s="16" customFormat="1" x14ac:dyDescent="0.4">
      <c r="B195" s="2"/>
      <c r="C195" s="2"/>
      <c r="D195" s="2"/>
    </row>
    <row r="196" spans="2:4" s="16" customFormat="1" x14ac:dyDescent="0.4">
      <c r="B196" s="2"/>
      <c r="C196" s="2"/>
      <c r="D196" s="2"/>
    </row>
    <row r="197" spans="2:4" s="16" customFormat="1" x14ac:dyDescent="0.4">
      <c r="B197" s="2"/>
      <c r="C197" s="2"/>
      <c r="D197" s="2"/>
    </row>
    <row r="198" spans="2:4" s="16" customFormat="1" x14ac:dyDescent="0.4">
      <c r="B198" s="2"/>
      <c r="C198" s="2"/>
      <c r="D198" s="2"/>
    </row>
    <row r="199" spans="2:4" s="16" customFormat="1" x14ac:dyDescent="0.4">
      <c r="B199" s="2"/>
      <c r="C199" s="2"/>
      <c r="D199" s="2"/>
    </row>
    <row r="200" spans="2:4" s="16" customFormat="1" x14ac:dyDescent="0.4">
      <c r="B200" s="2"/>
      <c r="C200" s="2"/>
      <c r="D200" s="2"/>
    </row>
    <row r="201" spans="2:4" s="16" customFormat="1" x14ac:dyDescent="0.4">
      <c r="B201" s="2"/>
      <c r="C201" s="2"/>
      <c r="D201" s="2"/>
    </row>
    <row r="202" spans="2:4" s="16" customFormat="1" x14ac:dyDescent="0.4">
      <c r="B202" s="2"/>
      <c r="C202" s="2"/>
      <c r="D202" s="2"/>
    </row>
    <row r="203" spans="2:4" s="16" customFormat="1" x14ac:dyDescent="0.4">
      <c r="B203" s="2"/>
      <c r="C203" s="2"/>
      <c r="D203" s="2"/>
    </row>
    <row r="204" spans="2:4" s="16" customFormat="1" x14ac:dyDescent="0.4">
      <c r="B204" s="2"/>
      <c r="C204" s="2"/>
      <c r="D204" s="2"/>
    </row>
    <row r="205" spans="2:4" s="16" customFormat="1" x14ac:dyDescent="0.4">
      <c r="B205" s="2"/>
      <c r="C205" s="2"/>
      <c r="D205" s="2"/>
    </row>
    <row r="206" spans="2:4" s="16" customFormat="1" x14ac:dyDescent="0.4">
      <c r="B206" s="2"/>
      <c r="C206" s="2"/>
      <c r="D206" s="2"/>
    </row>
    <row r="207" spans="2:4" s="16" customFormat="1" x14ac:dyDescent="0.4">
      <c r="B207" s="2"/>
      <c r="C207" s="2"/>
      <c r="D207" s="2"/>
    </row>
    <row r="208" spans="2:4" s="16" customFormat="1" x14ac:dyDescent="0.4">
      <c r="B208" s="2"/>
      <c r="C208" s="2"/>
      <c r="D208" s="2"/>
    </row>
    <row r="209" spans="2:4" s="16" customFormat="1" x14ac:dyDescent="0.4">
      <c r="B209" s="2"/>
      <c r="C209" s="2"/>
      <c r="D209" s="2"/>
    </row>
    <row r="210" spans="2:4" s="16" customFormat="1" x14ac:dyDescent="0.4">
      <c r="B210" s="2"/>
      <c r="C210" s="2"/>
      <c r="D210" s="2"/>
    </row>
    <row r="211" spans="2:4" s="16" customFormat="1" x14ac:dyDescent="0.4">
      <c r="B211" s="2"/>
      <c r="C211" s="2"/>
      <c r="D211" s="2"/>
    </row>
    <row r="212" spans="2:4" s="16" customFormat="1" x14ac:dyDescent="0.4">
      <c r="B212" s="2"/>
      <c r="C212" s="2"/>
      <c r="D212" s="2"/>
    </row>
    <row r="213" spans="2:4" s="16" customFormat="1" x14ac:dyDescent="0.4">
      <c r="B213" s="2"/>
      <c r="C213" s="2"/>
      <c r="D213" s="2"/>
    </row>
    <row r="214" spans="2:4" s="16" customFormat="1" x14ac:dyDescent="0.4">
      <c r="B214" s="2"/>
      <c r="C214" s="2"/>
      <c r="D214" s="2"/>
    </row>
    <row r="215" spans="2:4" s="16" customFormat="1" x14ac:dyDescent="0.4">
      <c r="B215" s="2"/>
      <c r="C215" s="2"/>
      <c r="D215" s="2"/>
    </row>
    <row r="216" spans="2:4" s="16" customFormat="1" x14ac:dyDescent="0.4">
      <c r="B216" s="2"/>
      <c r="C216" s="2"/>
      <c r="D216" s="2"/>
    </row>
    <row r="217" spans="2:4" s="16" customFormat="1" x14ac:dyDescent="0.4">
      <c r="B217" s="2"/>
      <c r="C217" s="2"/>
      <c r="D217" s="2"/>
    </row>
    <row r="218" spans="2:4" s="16" customFormat="1" x14ac:dyDescent="0.4">
      <c r="B218" s="2"/>
      <c r="C218" s="2"/>
      <c r="D218" s="2"/>
    </row>
    <row r="219" spans="2:4" s="16" customFormat="1" x14ac:dyDescent="0.4">
      <c r="B219" s="2"/>
      <c r="C219" s="2"/>
      <c r="D219" s="2"/>
    </row>
    <row r="220" spans="2:4" s="16" customFormat="1" x14ac:dyDescent="0.4">
      <c r="B220" s="2"/>
      <c r="C220" s="2"/>
      <c r="D220" s="2"/>
    </row>
    <row r="221" spans="2:4" s="16" customFormat="1" x14ac:dyDescent="0.4">
      <c r="B221" s="2"/>
      <c r="C221" s="2"/>
      <c r="D221" s="2"/>
    </row>
    <row r="222" spans="2:4" s="16" customFormat="1" x14ac:dyDescent="0.4">
      <c r="B222" s="2"/>
      <c r="C222" s="2"/>
      <c r="D222" s="2"/>
    </row>
    <row r="223" spans="2:4" s="16" customFormat="1" x14ac:dyDescent="0.4">
      <c r="B223" s="2"/>
      <c r="C223" s="2"/>
      <c r="D223" s="2"/>
    </row>
    <row r="224" spans="2:4" s="16" customFormat="1" x14ac:dyDescent="0.4">
      <c r="B224" s="2"/>
      <c r="C224" s="2"/>
      <c r="D224" s="2"/>
    </row>
    <row r="225" spans="2:4" s="16" customFormat="1" x14ac:dyDescent="0.4">
      <c r="B225" s="2"/>
      <c r="C225" s="2"/>
      <c r="D225" s="2"/>
    </row>
    <row r="226" spans="2:4" s="16" customFormat="1" x14ac:dyDescent="0.4">
      <c r="B226" s="2"/>
      <c r="C226" s="2"/>
      <c r="D226" s="2"/>
    </row>
    <row r="227" spans="2:4" s="16" customFormat="1" x14ac:dyDescent="0.4">
      <c r="B227" s="2"/>
      <c r="C227" s="2"/>
      <c r="D227" s="2"/>
    </row>
    <row r="228" spans="2:4" s="16" customFormat="1" x14ac:dyDescent="0.4">
      <c r="B228" s="2"/>
      <c r="C228" s="2"/>
      <c r="D228" s="2"/>
    </row>
    <row r="229" spans="2:4" s="16" customFormat="1" x14ac:dyDescent="0.4">
      <c r="B229" s="2"/>
      <c r="C229" s="2"/>
      <c r="D229" s="2"/>
    </row>
    <row r="230" spans="2:4" s="16" customFormat="1" x14ac:dyDescent="0.4">
      <c r="B230" s="2"/>
      <c r="C230" s="2"/>
      <c r="D230" s="2"/>
    </row>
    <row r="231" spans="2:4" s="16" customFormat="1" x14ac:dyDescent="0.4">
      <c r="B231" s="2"/>
      <c r="C231" s="2"/>
      <c r="D231" s="2"/>
    </row>
    <row r="232" spans="2:4" s="16" customFormat="1" x14ac:dyDescent="0.4">
      <c r="B232" s="2"/>
      <c r="C232" s="2"/>
      <c r="D232" s="2"/>
    </row>
    <row r="233" spans="2:4" s="16" customFormat="1" x14ac:dyDescent="0.4">
      <c r="B233" s="2"/>
      <c r="C233" s="2"/>
      <c r="D233" s="2"/>
    </row>
    <row r="234" spans="2:4" s="16" customFormat="1" x14ac:dyDescent="0.4">
      <c r="B234" s="2"/>
      <c r="C234" s="2"/>
      <c r="D234" s="2"/>
    </row>
    <row r="235" spans="2:4" s="16" customFormat="1" x14ac:dyDescent="0.4">
      <c r="B235" s="2"/>
      <c r="C235" s="2"/>
      <c r="D235" s="2"/>
    </row>
    <row r="236" spans="2:4" s="16" customFormat="1" x14ac:dyDescent="0.4">
      <c r="B236" s="2"/>
      <c r="C236" s="2"/>
      <c r="D236" s="2"/>
    </row>
    <row r="237" spans="2:4" s="16" customFormat="1" x14ac:dyDescent="0.4">
      <c r="B237" s="2"/>
      <c r="C237" s="2"/>
      <c r="D237" s="2"/>
    </row>
    <row r="238" spans="2:4" s="16" customFormat="1" x14ac:dyDescent="0.4">
      <c r="B238" s="2"/>
      <c r="C238" s="2"/>
      <c r="D238" s="2"/>
    </row>
    <row r="239" spans="2:4" s="16" customFormat="1" x14ac:dyDescent="0.4">
      <c r="B239" s="2"/>
      <c r="C239" s="2"/>
      <c r="D239" s="2"/>
    </row>
    <row r="240" spans="2:4" s="16" customFormat="1" x14ac:dyDescent="0.4">
      <c r="B240" s="2"/>
      <c r="C240" s="2"/>
      <c r="D240" s="2"/>
    </row>
    <row r="241" spans="2:4" s="16" customFormat="1" x14ac:dyDescent="0.4">
      <c r="B241" s="2"/>
      <c r="C241" s="2"/>
      <c r="D241" s="2"/>
    </row>
    <row r="242" spans="2:4" s="16" customFormat="1" x14ac:dyDescent="0.4">
      <c r="B242" s="2"/>
      <c r="C242" s="2"/>
      <c r="D242" s="2"/>
    </row>
    <row r="243" spans="2:4" s="16" customFormat="1" x14ac:dyDescent="0.4">
      <c r="B243" s="2"/>
      <c r="C243" s="2"/>
      <c r="D243" s="2"/>
    </row>
    <row r="244" spans="2:4" s="16" customFormat="1" x14ac:dyDescent="0.4">
      <c r="B244" s="2"/>
      <c r="C244" s="2"/>
      <c r="D244" s="2"/>
    </row>
    <row r="245" spans="2:4" s="16" customFormat="1" x14ac:dyDescent="0.4">
      <c r="B245" s="2"/>
      <c r="C245" s="2"/>
      <c r="D245" s="2"/>
    </row>
    <row r="246" spans="2:4" s="16" customFormat="1" x14ac:dyDescent="0.4">
      <c r="B246" s="2"/>
      <c r="C246" s="2"/>
      <c r="D246" s="2"/>
    </row>
    <row r="247" spans="2:4" s="16" customFormat="1" x14ac:dyDescent="0.4">
      <c r="B247" s="2"/>
      <c r="C247" s="2"/>
      <c r="D247" s="2"/>
    </row>
    <row r="248" spans="2:4" s="16" customFormat="1" x14ac:dyDescent="0.4">
      <c r="B248" s="2"/>
      <c r="C248" s="2"/>
      <c r="D248" s="2"/>
    </row>
    <row r="249" spans="2:4" s="16" customFormat="1" x14ac:dyDescent="0.4">
      <c r="B249" s="2"/>
      <c r="C249" s="2"/>
      <c r="D249" s="2"/>
    </row>
    <row r="250" spans="2:4" s="16" customFormat="1" x14ac:dyDescent="0.4">
      <c r="B250" s="2"/>
      <c r="C250" s="2"/>
      <c r="D250" s="2"/>
    </row>
    <row r="251" spans="2:4" s="16" customFormat="1" x14ac:dyDescent="0.4">
      <c r="B251" s="2"/>
      <c r="C251" s="2"/>
      <c r="D251" s="2"/>
    </row>
    <row r="252" spans="2:4" s="16" customFormat="1" x14ac:dyDescent="0.4">
      <c r="B252" s="2"/>
      <c r="C252" s="2"/>
      <c r="D252" s="2"/>
    </row>
    <row r="253" spans="2:4" s="16" customFormat="1" x14ac:dyDescent="0.4">
      <c r="B253" s="2"/>
      <c r="C253" s="2"/>
      <c r="D253" s="2"/>
    </row>
    <row r="254" spans="2:4" s="16" customFormat="1" x14ac:dyDescent="0.4">
      <c r="B254" s="2"/>
      <c r="C254" s="2"/>
      <c r="D254" s="2"/>
    </row>
    <row r="255" spans="2:4" s="16" customFormat="1" x14ac:dyDescent="0.4">
      <c r="B255" s="2"/>
      <c r="C255" s="2"/>
      <c r="D255" s="2"/>
    </row>
    <row r="256" spans="2:4" s="16" customFormat="1" x14ac:dyDescent="0.4">
      <c r="B256" s="2"/>
      <c r="C256" s="2"/>
      <c r="D256" s="2"/>
    </row>
    <row r="257" spans="2:4" s="16" customFormat="1" x14ac:dyDescent="0.4">
      <c r="B257" s="2"/>
      <c r="C257" s="2"/>
      <c r="D257" s="2"/>
    </row>
    <row r="258" spans="2:4" s="16" customFormat="1" x14ac:dyDescent="0.4">
      <c r="B258" s="2"/>
      <c r="C258" s="2"/>
      <c r="D258" s="2"/>
    </row>
    <row r="259" spans="2:4" s="16" customFormat="1" x14ac:dyDescent="0.4">
      <c r="B259" s="2"/>
      <c r="C259" s="2"/>
      <c r="D259" s="2"/>
    </row>
    <row r="260" spans="2:4" s="16" customFormat="1" x14ac:dyDescent="0.4">
      <c r="B260" s="2"/>
      <c r="C260" s="2"/>
      <c r="D260" s="2"/>
    </row>
    <row r="261" spans="2:4" s="16" customFormat="1" x14ac:dyDescent="0.4">
      <c r="B261" s="2"/>
      <c r="C261" s="2"/>
      <c r="D261" s="2"/>
    </row>
    <row r="262" spans="2:4" s="16" customFormat="1" x14ac:dyDescent="0.4">
      <c r="B262" s="2"/>
      <c r="C262" s="2"/>
      <c r="D262" s="2"/>
    </row>
    <row r="263" spans="2:4" s="16" customFormat="1" x14ac:dyDescent="0.4">
      <c r="B263" s="2"/>
      <c r="C263" s="2"/>
      <c r="D263" s="2"/>
    </row>
    <row r="264" spans="2:4" s="16" customFormat="1" x14ac:dyDescent="0.4">
      <c r="B264" s="2"/>
      <c r="C264" s="2"/>
      <c r="D264" s="2"/>
    </row>
    <row r="265" spans="2:4" s="16" customFormat="1" x14ac:dyDescent="0.4">
      <c r="B265" s="2"/>
      <c r="C265" s="2"/>
      <c r="D265" s="2"/>
    </row>
    <row r="266" spans="2:4" s="16" customFormat="1" x14ac:dyDescent="0.4">
      <c r="B266" s="2"/>
      <c r="C266" s="2"/>
      <c r="D266" s="2"/>
    </row>
    <row r="267" spans="2:4" s="16" customFormat="1" x14ac:dyDescent="0.4">
      <c r="B267" s="2"/>
      <c r="C267" s="2"/>
      <c r="D267" s="2"/>
    </row>
    <row r="268" spans="2:4" s="16" customFormat="1" x14ac:dyDescent="0.4">
      <c r="B268" s="2"/>
      <c r="C268" s="2"/>
      <c r="D268" s="2"/>
    </row>
    <row r="269" spans="2:4" s="16" customFormat="1" x14ac:dyDescent="0.4">
      <c r="B269" s="2"/>
      <c r="C269" s="2"/>
      <c r="D269" s="2"/>
    </row>
    <row r="270" spans="2:4" s="16" customFormat="1" x14ac:dyDescent="0.4">
      <c r="B270" s="2"/>
      <c r="C270" s="2"/>
      <c r="D270" s="2"/>
    </row>
    <row r="271" spans="2:4" s="16" customFormat="1" x14ac:dyDescent="0.4">
      <c r="B271" s="2"/>
      <c r="C271" s="2"/>
      <c r="D271" s="2"/>
    </row>
    <row r="272" spans="2:4" s="16" customFormat="1" x14ac:dyDescent="0.4">
      <c r="B272" s="2"/>
      <c r="C272" s="2"/>
      <c r="D272" s="2"/>
    </row>
    <row r="273" spans="2:4" s="16" customFormat="1" x14ac:dyDescent="0.4">
      <c r="B273" s="2"/>
      <c r="C273" s="2"/>
      <c r="D273" s="2"/>
    </row>
    <row r="274" spans="2:4" s="16" customFormat="1" x14ac:dyDescent="0.4">
      <c r="B274" s="2"/>
      <c r="C274" s="2"/>
      <c r="D274" s="2"/>
    </row>
    <row r="275" spans="2:4" s="16" customFormat="1" x14ac:dyDescent="0.4">
      <c r="B275" s="2"/>
      <c r="C275" s="2"/>
      <c r="D275" s="2"/>
    </row>
    <row r="276" spans="2:4" s="16" customFormat="1" x14ac:dyDescent="0.4">
      <c r="B276" s="2"/>
      <c r="C276" s="2"/>
      <c r="D276" s="2"/>
    </row>
    <row r="277" spans="2:4" s="16" customFormat="1" x14ac:dyDescent="0.4">
      <c r="B277" s="2"/>
      <c r="C277" s="2"/>
      <c r="D277" s="2"/>
    </row>
    <row r="278" spans="2:4" s="16" customFormat="1" x14ac:dyDescent="0.4">
      <c r="B278" s="2"/>
      <c r="C278" s="2"/>
      <c r="D278" s="2"/>
    </row>
    <row r="279" spans="2:4" s="16" customFormat="1" x14ac:dyDescent="0.4">
      <c r="B279" s="2"/>
      <c r="C279" s="2"/>
      <c r="D279" s="2"/>
    </row>
    <row r="280" spans="2:4" s="16" customFormat="1" x14ac:dyDescent="0.4">
      <c r="B280" s="2"/>
      <c r="C280" s="2"/>
      <c r="D280" s="2"/>
    </row>
    <row r="281" spans="2:4" s="16" customFormat="1" x14ac:dyDescent="0.4">
      <c r="B281" s="2"/>
      <c r="C281" s="2"/>
      <c r="D281" s="2"/>
    </row>
    <row r="282" spans="2:4" s="16" customFormat="1" x14ac:dyDescent="0.4">
      <c r="B282" s="2"/>
      <c r="C282" s="2"/>
      <c r="D282" s="2"/>
    </row>
    <row r="283" spans="2:4" s="16" customFormat="1" x14ac:dyDescent="0.4">
      <c r="B283" s="2"/>
      <c r="C283" s="2"/>
      <c r="D283" s="2"/>
    </row>
    <row r="284" spans="2:4" s="16" customFormat="1" x14ac:dyDescent="0.4">
      <c r="B284" s="2"/>
      <c r="C284" s="2"/>
      <c r="D284" s="2"/>
    </row>
    <row r="285" spans="2:4" s="16" customFormat="1" x14ac:dyDescent="0.4">
      <c r="B285" s="2"/>
      <c r="C285" s="2"/>
      <c r="D285" s="2"/>
    </row>
    <row r="286" spans="2:4" s="16" customFormat="1" x14ac:dyDescent="0.4">
      <c r="B286" s="2"/>
      <c r="C286" s="2"/>
      <c r="D286" s="2"/>
    </row>
    <row r="287" spans="2:4" s="16" customFormat="1" x14ac:dyDescent="0.4">
      <c r="B287" s="2"/>
      <c r="C287" s="2"/>
      <c r="D287" s="2"/>
    </row>
    <row r="288" spans="2:4" s="16" customFormat="1" x14ac:dyDescent="0.4">
      <c r="B288" s="2"/>
      <c r="C288" s="2"/>
      <c r="D288" s="2"/>
    </row>
    <row r="289" spans="2:4" s="16" customFormat="1" x14ac:dyDescent="0.4">
      <c r="B289" s="2"/>
      <c r="C289" s="2"/>
      <c r="D289" s="2"/>
    </row>
    <row r="290" spans="2:4" s="16" customFormat="1" x14ac:dyDescent="0.4">
      <c r="B290" s="2"/>
      <c r="C290" s="2"/>
      <c r="D290" s="2"/>
    </row>
    <row r="291" spans="2:4" s="16" customFormat="1" x14ac:dyDescent="0.4">
      <c r="B291" s="2"/>
      <c r="C291" s="2"/>
      <c r="D291" s="2"/>
    </row>
    <row r="292" spans="2:4" s="16" customFormat="1" x14ac:dyDescent="0.4">
      <c r="B292" s="2"/>
      <c r="C292" s="2"/>
      <c r="D292" s="2"/>
    </row>
    <row r="293" spans="2:4" s="16" customFormat="1" x14ac:dyDescent="0.4">
      <c r="B293" s="2"/>
      <c r="C293" s="2"/>
      <c r="D293" s="2"/>
    </row>
    <row r="294" spans="2:4" s="16" customFormat="1" x14ac:dyDescent="0.4">
      <c r="B294" s="2"/>
      <c r="C294" s="2"/>
      <c r="D294" s="2"/>
    </row>
    <row r="295" spans="2:4" s="16" customFormat="1" x14ac:dyDescent="0.4">
      <c r="B295" s="2"/>
      <c r="C295" s="2"/>
      <c r="D295" s="2"/>
    </row>
    <row r="296" spans="2:4" s="16" customFormat="1" x14ac:dyDescent="0.4">
      <c r="B296" s="2"/>
      <c r="C296" s="2"/>
      <c r="D296" s="2"/>
    </row>
    <row r="297" spans="2:4" s="16" customFormat="1" x14ac:dyDescent="0.4">
      <c r="B297" s="2"/>
      <c r="C297" s="2"/>
      <c r="D297" s="2"/>
    </row>
    <row r="298" spans="2:4" s="16" customFormat="1" x14ac:dyDescent="0.4">
      <c r="B298" s="2"/>
      <c r="C298" s="2"/>
      <c r="D298" s="2"/>
    </row>
    <row r="299" spans="2:4" s="16" customFormat="1" x14ac:dyDescent="0.4">
      <c r="B299" s="2"/>
      <c r="C299" s="2"/>
      <c r="D299" s="2"/>
    </row>
    <row r="300" spans="2:4" s="16" customFormat="1" x14ac:dyDescent="0.4">
      <c r="B300" s="2"/>
      <c r="C300" s="2"/>
      <c r="D300" s="2"/>
    </row>
    <row r="301" spans="2:4" s="16" customFormat="1" x14ac:dyDescent="0.4">
      <c r="B301" s="2"/>
      <c r="C301" s="2"/>
      <c r="D301" s="2"/>
    </row>
    <row r="302" spans="2:4" s="16" customFormat="1" x14ac:dyDescent="0.4">
      <c r="B302" s="2"/>
      <c r="C302" s="2"/>
      <c r="D302" s="2"/>
    </row>
    <row r="303" spans="2:4" s="16" customFormat="1" x14ac:dyDescent="0.4">
      <c r="B303" s="2"/>
      <c r="C303" s="2"/>
      <c r="D303" s="2"/>
    </row>
    <row r="304" spans="2:4" s="16" customFormat="1" x14ac:dyDescent="0.4">
      <c r="B304" s="2"/>
      <c r="C304" s="2"/>
      <c r="D304" s="2"/>
    </row>
    <row r="305" spans="2:4" s="16" customFormat="1" x14ac:dyDescent="0.4">
      <c r="B305" s="2"/>
      <c r="C305" s="2"/>
      <c r="D305" s="2"/>
    </row>
    <row r="306" spans="2:4" s="16" customFormat="1" x14ac:dyDescent="0.4">
      <c r="B306" s="2"/>
      <c r="C306" s="2"/>
      <c r="D306" s="2"/>
    </row>
    <row r="307" spans="2:4" s="16" customFormat="1" x14ac:dyDescent="0.4">
      <c r="B307" s="2"/>
      <c r="C307" s="2"/>
      <c r="D307" s="2"/>
    </row>
    <row r="308" spans="2:4" s="16" customFormat="1" x14ac:dyDescent="0.4">
      <c r="B308" s="2"/>
      <c r="C308" s="2"/>
      <c r="D308" s="2"/>
    </row>
    <row r="309" spans="2:4" s="16" customFormat="1" x14ac:dyDescent="0.4">
      <c r="B309" s="2"/>
      <c r="C309" s="2"/>
      <c r="D309" s="2"/>
    </row>
    <row r="310" spans="2:4" s="16" customFormat="1" x14ac:dyDescent="0.4">
      <c r="B310" s="2"/>
      <c r="C310" s="2"/>
      <c r="D310" s="2"/>
    </row>
    <row r="311" spans="2:4" s="16" customFormat="1" x14ac:dyDescent="0.4">
      <c r="B311" s="2"/>
      <c r="C311" s="2"/>
      <c r="D311" s="2"/>
    </row>
    <row r="312" spans="2:4" s="16" customFormat="1" x14ac:dyDescent="0.4">
      <c r="B312" s="2"/>
      <c r="C312" s="2"/>
      <c r="D312" s="2"/>
    </row>
    <row r="313" spans="2:4" s="16" customFormat="1" x14ac:dyDescent="0.4">
      <c r="B313" s="2"/>
      <c r="C313" s="2"/>
      <c r="D313" s="2"/>
    </row>
    <row r="314" spans="2:4" s="16" customFormat="1" x14ac:dyDescent="0.4">
      <c r="B314" s="2"/>
      <c r="C314" s="2"/>
      <c r="D314" s="2"/>
    </row>
    <row r="315" spans="2:4" s="16" customFormat="1" x14ac:dyDescent="0.4">
      <c r="B315" s="2"/>
      <c r="C315" s="2"/>
      <c r="D315" s="2"/>
    </row>
    <row r="316" spans="2:4" s="16" customFormat="1" x14ac:dyDescent="0.4">
      <c r="B316" s="2"/>
      <c r="C316" s="2"/>
      <c r="D316" s="2"/>
    </row>
    <row r="317" spans="2:4" s="16" customFormat="1" x14ac:dyDescent="0.4">
      <c r="B317" s="2"/>
      <c r="C317" s="2"/>
      <c r="D317" s="2"/>
    </row>
    <row r="318" spans="2:4" s="16" customFormat="1" x14ac:dyDescent="0.4">
      <c r="B318" s="2"/>
      <c r="C318" s="2"/>
      <c r="D318" s="2"/>
    </row>
    <row r="319" spans="2:4" s="16" customFormat="1" x14ac:dyDescent="0.4">
      <c r="B319" s="2"/>
      <c r="C319" s="2"/>
      <c r="D319" s="2"/>
    </row>
    <row r="320" spans="2:4" s="16" customFormat="1" x14ac:dyDescent="0.4">
      <c r="B320" s="2"/>
      <c r="C320" s="2"/>
      <c r="D320" s="2"/>
    </row>
    <row r="321" spans="2:4" s="16" customFormat="1" x14ac:dyDescent="0.4">
      <c r="B321" s="2"/>
      <c r="C321" s="2"/>
      <c r="D321" s="2"/>
    </row>
    <row r="322" spans="2:4" s="16" customFormat="1" x14ac:dyDescent="0.4">
      <c r="B322" s="2"/>
      <c r="C322" s="2"/>
      <c r="D322" s="2"/>
    </row>
    <row r="323" spans="2:4" s="16" customFormat="1" x14ac:dyDescent="0.4">
      <c r="B323" s="2"/>
      <c r="C323" s="2"/>
      <c r="D323" s="2"/>
    </row>
    <row r="324" spans="2:4" s="16" customFormat="1" x14ac:dyDescent="0.4">
      <c r="B324" s="2"/>
      <c r="C324" s="2"/>
      <c r="D324" s="2"/>
    </row>
    <row r="325" spans="2:4" s="16" customFormat="1" x14ac:dyDescent="0.4">
      <c r="B325" s="2"/>
      <c r="C325" s="2"/>
      <c r="D325" s="2"/>
    </row>
    <row r="326" spans="2:4" s="16" customFormat="1" x14ac:dyDescent="0.4">
      <c r="B326" s="2"/>
      <c r="C326" s="2"/>
      <c r="D326" s="2"/>
    </row>
    <row r="327" spans="2:4" s="16" customFormat="1" x14ac:dyDescent="0.4">
      <c r="B327" s="2"/>
      <c r="C327" s="2"/>
      <c r="D327" s="2"/>
    </row>
    <row r="328" spans="2:4" s="16" customFormat="1" x14ac:dyDescent="0.4">
      <c r="B328" s="2"/>
      <c r="C328" s="2"/>
      <c r="D328" s="2"/>
    </row>
    <row r="329" spans="2:4" s="16" customFormat="1" x14ac:dyDescent="0.4">
      <c r="B329" s="2"/>
      <c r="C329" s="2"/>
      <c r="D329" s="2"/>
    </row>
    <row r="330" spans="2:4" s="16" customFormat="1" x14ac:dyDescent="0.4">
      <c r="B330" s="2"/>
      <c r="C330" s="2"/>
      <c r="D330" s="2"/>
    </row>
    <row r="331" spans="2:4" s="16" customFormat="1" x14ac:dyDescent="0.4">
      <c r="B331" s="2"/>
      <c r="C331" s="2"/>
      <c r="D331" s="2"/>
    </row>
    <row r="332" spans="2:4" s="16" customFormat="1" x14ac:dyDescent="0.4">
      <c r="B332" s="2"/>
      <c r="C332" s="2"/>
      <c r="D332" s="2"/>
    </row>
    <row r="333" spans="2:4" s="16" customFormat="1" x14ac:dyDescent="0.4">
      <c r="B333" s="2"/>
      <c r="C333" s="2"/>
      <c r="D333" s="2"/>
    </row>
    <row r="334" spans="2:4" s="16" customFormat="1" x14ac:dyDescent="0.4">
      <c r="B334" s="2"/>
      <c r="C334" s="2"/>
      <c r="D334" s="2"/>
    </row>
    <row r="335" spans="2:4" s="16" customFormat="1" x14ac:dyDescent="0.4">
      <c r="B335" s="2"/>
      <c r="C335" s="2"/>
      <c r="D335" s="2"/>
    </row>
    <row r="336" spans="2:4" s="16" customFormat="1" x14ac:dyDescent="0.4">
      <c r="B336" s="2"/>
      <c r="C336" s="2"/>
      <c r="D336" s="2"/>
    </row>
    <row r="337" spans="2:4" s="16" customFormat="1" x14ac:dyDescent="0.4">
      <c r="B337" s="2"/>
      <c r="C337" s="2"/>
      <c r="D337" s="2"/>
    </row>
    <row r="338" spans="2:4" s="16" customFormat="1" x14ac:dyDescent="0.4">
      <c r="B338" s="2"/>
      <c r="C338" s="2"/>
      <c r="D338" s="2"/>
    </row>
    <row r="339" spans="2:4" s="16" customFormat="1" x14ac:dyDescent="0.4">
      <c r="B339" s="2"/>
      <c r="C339" s="2"/>
      <c r="D339" s="2"/>
    </row>
    <row r="340" spans="2:4" s="16" customFormat="1" x14ac:dyDescent="0.4">
      <c r="B340" s="2"/>
      <c r="C340" s="2"/>
      <c r="D340" s="2"/>
    </row>
    <row r="341" spans="2:4" s="16" customFormat="1" x14ac:dyDescent="0.4">
      <c r="B341" s="2"/>
      <c r="C341" s="2"/>
      <c r="D341" s="2"/>
    </row>
    <row r="342" spans="2:4" s="16" customFormat="1" x14ac:dyDescent="0.4">
      <c r="B342" s="2"/>
      <c r="C342" s="2"/>
      <c r="D342" s="2"/>
    </row>
    <row r="343" spans="2:4" s="16" customFormat="1" x14ac:dyDescent="0.4">
      <c r="B343" s="2"/>
      <c r="C343" s="2"/>
      <c r="D343" s="2"/>
    </row>
    <row r="344" spans="2:4" s="16" customFormat="1" x14ac:dyDescent="0.4">
      <c r="B344" s="2"/>
      <c r="C344" s="2"/>
      <c r="D344" s="2"/>
    </row>
    <row r="345" spans="2:4" s="16" customFormat="1" x14ac:dyDescent="0.4">
      <c r="B345" s="2"/>
      <c r="C345" s="2"/>
      <c r="D345" s="2"/>
    </row>
    <row r="346" spans="2:4" s="16" customFormat="1" x14ac:dyDescent="0.4">
      <c r="B346" s="2"/>
      <c r="C346" s="2"/>
      <c r="D346" s="2"/>
    </row>
    <row r="347" spans="2:4" s="16" customFormat="1" x14ac:dyDescent="0.4">
      <c r="B347" s="2"/>
      <c r="C347" s="2"/>
      <c r="D347" s="2"/>
    </row>
    <row r="348" spans="2:4" s="16" customFormat="1" x14ac:dyDescent="0.4">
      <c r="B348" s="2"/>
      <c r="C348" s="2"/>
      <c r="D348" s="2"/>
    </row>
    <row r="349" spans="2:4" s="16" customFormat="1" x14ac:dyDescent="0.4">
      <c r="B349" s="2"/>
      <c r="C349" s="2"/>
      <c r="D349" s="2"/>
    </row>
    <row r="350" spans="2:4" s="16" customFormat="1" x14ac:dyDescent="0.4">
      <c r="B350" s="2"/>
      <c r="C350" s="2"/>
      <c r="D350" s="2"/>
    </row>
    <row r="351" spans="2:4" s="16" customFormat="1" x14ac:dyDescent="0.4">
      <c r="B351" s="2"/>
      <c r="C351" s="2"/>
      <c r="D351" s="2"/>
    </row>
    <row r="352" spans="2:4" s="16" customFormat="1" x14ac:dyDescent="0.4">
      <c r="B352" s="2"/>
      <c r="C352" s="2"/>
      <c r="D352" s="2"/>
    </row>
    <row r="353" spans="2:4" s="16" customFormat="1" x14ac:dyDescent="0.4">
      <c r="B353" s="2"/>
      <c r="C353" s="2"/>
      <c r="D353" s="2"/>
    </row>
    <row r="354" spans="2:4" s="16" customFormat="1" x14ac:dyDescent="0.4">
      <c r="B354" s="2"/>
      <c r="C354" s="2"/>
      <c r="D354" s="2"/>
    </row>
    <row r="355" spans="2:4" s="16" customFormat="1" x14ac:dyDescent="0.4">
      <c r="B355" s="2"/>
      <c r="C355" s="2"/>
      <c r="D355" s="2"/>
    </row>
    <row r="356" spans="2:4" s="16" customFormat="1" x14ac:dyDescent="0.4">
      <c r="B356" s="2"/>
      <c r="C356" s="2"/>
      <c r="D356" s="2"/>
    </row>
    <row r="357" spans="2:4" s="16" customFormat="1" x14ac:dyDescent="0.4">
      <c r="B357" s="2"/>
      <c r="C357" s="2"/>
      <c r="D357" s="2"/>
    </row>
    <row r="358" spans="2:4" s="16" customFormat="1" x14ac:dyDescent="0.4">
      <c r="B358" s="2"/>
      <c r="C358" s="2"/>
      <c r="D358" s="2"/>
    </row>
    <row r="359" spans="2:4" s="16" customFormat="1" x14ac:dyDescent="0.4">
      <c r="B359" s="2"/>
      <c r="C359" s="2"/>
      <c r="D359" s="2"/>
    </row>
    <row r="360" spans="2:4" s="16" customFormat="1" x14ac:dyDescent="0.4">
      <c r="B360" s="2"/>
      <c r="C360" s="2"/>
      <c r="D360" s="2"/>
    </row>
    <row r="361" spans="2:4" s="16" customFormat="1" x14ac:dyDescent="0.4">
      <c r="B361" s="2"/>
      <c r="C361" s="2"/>
      <c r="D361" s="2"/>
    </row>
    <row r="362" spans="2:4" s="16" customFormat="1" x14ac:dyDescent="0.4">
      <c r="B362" s="2"/>
      <c r="C362" s="2"/>
      <c r="D362" s="2"/>
    </row>
    <row r="363" spans="2:4" s="16" customFormat="1" x14ac:dyDescent="0.4">
      <c r="B363" s="2"/>
      <c r="C363" s="2"/>
      <c r="D363" s="2"/>
    </row>
    <row r="364" spans="2:4" s="16" customFormat="1" x14ac:dyDescent="0.4">
      <c r="B364" s="2"/>
      <c r="C364" s="2"/>
      <c r="D364" s="2"/>
    </row>
    <row r="365" spans="2:4" s="16" customFormat="1" x14ac:dyDescent="0.4">
      <c r="B365" s="2"/>
      <c r="C365" s="2"/>
      <c r="D365" s="2"/>
    </row>
    <row r="366" spans="2:4" s="16" customFormat="1" x14ac:dyDescent="0.4">
      <c r="B366" s="2"/>
      <c r="C366" s="2"/>
      <c r="D366" s="2"/>
    </row>
    <row r="367" spans="2:4" s="16" customFormat="1" x14ac:dyDescent="0.4">
      <c r="B367" s="2"/>
      <c r="C367" s="2"/>
      <c r="D367" s="2"/>
    </row>
    <row r="368" spans="2:4" s="16" customFormat="1" x14ac:dyDescent="0.4">
      <c r="B368" s="2"/>
      <c r="C368" s="2"/>
      <c r="D368" s="2"/>
    </row>
    <row r="369" spans="2:4" s="16" customFormat="1" x14ac:dyDescent="0.4">
      <c r="B369" s="2"/>
      <c r="C369" s="2"/>
      <c r="D369" s="2"/>
    </row>
    <row r="370" spans="2:4" s="16" customFormat="1" x14ac:dyDescent="0.4">
      <c r="B370" s="2"/>
      <c r="C370" s="2"/>
      <c r="D370" s="2"/>
    </row>
    <row r="371" spans="2:4" s="16" customFormat="1" x14ac:dyDescent="0.4">
      <c r="B371" s="2"/>
      <c r="C371" s="2"/>
      <c r="D371" s="2"/>
    </row>
    <row r="372" spans="2:4" s="16" customFormat="1" x14ac:dyDescent="0.4">
      <c r="B372" s="2"/>
      <c r="C372" s="2"/>
      <c r="D372" s="2"/>
    </row>
    <row r="373" spans="2:4" s="16" customFormat="1" x14ac:dyDescent="0.4">
      <c r="B373" s="2"/>
      <c r="C373" s="2"/>
      <c r="D373" s="2"/>
    </row>
    <row r="374" spans="2:4" s="16" customFormat="1" x14ac:dyDescent="0.4">
      <c r="B374" s="2"/>
      <c r="C374" s="2"/>
      <c r="D374" s="2"/>
    </row>
    <row r="375" spans="2:4" s="16" customFormat="1" x14ac:dyDescent="0.4">
      <c r="B375" s="2"/>
      <c r="C375" s="2"/>
      <c r="D375" s="2"/>
    </row>
    <row r="376" spans="2:4" s="16" customFormat="1" x14ac:dyDescent="0.4">
      <c r="B376" s="2"/>
      <c r="C376" s="2"/>
      <c r="D376" s="2"/>
    </row>
    <row r="377" spans="2:4" s="16" customFormat="1" x14ac:dyDescent="0.4">
      <c r="B377" s="2"/>
      <c r="C377" s="2"/>
      <c r="D377" s="2"/>
    </row>
    <row r="378" spans="2:4" s="16" customFormat="1" x14ac:dyDescent="0.4">
      <c r="B378" s="2"/>
      <c r="C378" s="2"/>
      <c r="D378" s="2"/>
    </row>
    <row r="379" spans="2:4" s="16" customFormat="1" x14ac:dyDescent="0.4">
      <c r="B379" s="2"/>
      <c r="C379" s="2"/>
      <c r="D379" s="2"/>
    </row>
    <row r="380" spans="2:4" s="16" customFormat="1" x14ac:dyDescent="0.4">
      <c r="B380" s="2"/>
      <c r="C380" s="2"/>
      <c r="D380" s="2"/>
    </row>
    <row r="381" spans="2:4" s="16" customFormat="1" x14ac:dyDescent="0.4">
      <c r="B381" s="2"/>
      <c r="C381" s="2"/>
      <c r="D381" s="2"/>
    </row>
    <row r="382" spans="2:4" s="16" customFormat="1" x14ac:dyDescent="0.4">
      <c r="B382" s="2"/>
      <c r="C382" s="2"/>
      <c r="D382" s="2"/>
    </row>
    <row r="383" spans="2:4" s="16" customFormat="1" x14ac:dyDescent="0.4">
      <c r="B383" s="2"/>
      <c r="C383" s="2"/>
      <c r="D383" s="2"/>
    </row>
    <row r="384" spans="2:4" s="16" customFormat="1" x14ac:dyDescent="0.4">
      <c r="B384" s="2"/>
      <c r="C384" s="2"/>
      <c r="D384" s="2"/>
    </row>
    <row r="385" spans="2:4" s="16" customFormat="1" x14ac:dyDescent="0.4">
      <c r="B385" s="2"/>
      <c r="C385" s="2"/>
      <c r="D385" s="2"/>
    </row>
    <row r="386" spans="2:4" s="16" customFormat="1" x14ac:dyDescent="0.4">
      <c r="B386" s="2"/>
      <c r="C386" s="2"/>
      <c r="D386" s="2"/>
    </row>
    <row r="387" spans="2:4" s="16" customFormat="1" x14ac:dyDescent="0.4">
      <c r="B387" s="2"/>
      <c r="C387" s="2"/>
      <c r="D387" s="2"/>
    </row>
    <row r="388" spans="2:4" s="16" customFormat="1" x14ac:dyDescent="0.4">
      <c r="B388" s="2"/>
      <c r="C388" s="2"/>
      <c r="D388" s="2"/>
    </row>
    <row r="389" spans="2:4" s="16" customFormat="1" x14ac:dyDescent="0.4">
      <c r="B389" s="2"/>
      <c r="C389" s="2"/>
      <c r="D389" s="2"/>
    </row>
    <row r="390" spans="2:4" s="16" customFormat="1" x14ac:dyDescent="0.4">
      <c r="B390" s="2"/>
      <c r="C390" s="2"/>
      <c r="D390" s="2"/>
    </row>
    <row r="391" spans="2:4" s="16" customFormat="1" x14ac:dyDescent="0.4">
      <c r="B391" s="2"/>
      <c r="C391" s="2"/>
      <c r="D391" s="2"/>
    </row>
    <row r="392" spans="2:4" s="16" customFormat="1" x14ac:dyDescent="0.4">
      <c r="B392" s="2"/>
      <c r="C392" s="2"/>
      <c r="D392" s="2"/>
    </row>
    <row r="393" spans="2:4" s="16" customFormat="1" x14ac:dyDescent="0.4">
      <c r="B393" s="2"/>
      <c r="C393" s="2"/>
      <c r="D393" s="2"/>
    </row>
    <row r="394" spans="2:4" s="16" customFormat="1" x14ac:dyDescent="0.4">
      <c r="B394" s="2"/>
      <c r="C394" s="2"/>
      <c r="D394" s="2"/>
    </row>
    <row r="395" spans="2:4" s="16" customFormat="1" x14ac:dyDescent="0.4">
      <c r="B395" s="2"/>
      <c r="C395" s="2"/>
      <c r="D395" s="2"/>
    </row>
    <row r="396" spans="2:4" s="16" customFormat="1" x14ac:dyDescent="0.4">
      <c r="B396" s="2"/>
      <c r="C396" s="2"/>
      <c r="D396" s="2"/>
    </row>
    <row r="397" spans="2:4" s="16" customFormat="1" x14ac:dyDescent="0.4">
      <c r="B397" s="2"/>
      <c r="C397" s="2"/>
      <c r="D397" s="2"/>
    </row>
    <row r="398" spans="2:4" s="16" customFormat="1" x14ac:dyDescent="0.4">
      <c r="B398" s="2"/>
      <c r="C398" s="2"/>
      <c r="D398" s="2"/>
    </row>
    <row r="399" spans="2:4" s="16" customFormat="1" x14ac:dyDescent="0.4">
      <c r="B399" s="2"/>
      <c r="C399" s="2"/>
      <c r="D399" s="2"/>
    </row>
    <row r="400" spans="2:4" s="16" customFormat="1" x14ac:dyDescent="0.4">
      <c r="B400" s="2"/>
      <c r="C400" s="2"/>
      <c r="D400" s="2"/>
    </row>
    <row r="401" spans="2:4" s="16" customFormat="1" x14ac:dyDescent="0.4">
      <c r="B401" s="2"/>
      <c r="C401" s="2"/>
      <c r="D401" s="2"/>
    </row>
    <row r="402" spans="2:4" s="16" customFormat="1" x14ac:dyDescent="0.4">
      <c r="B402" s="2"/>
      <c r="C402" s="2"/>
      <c r="D402" s="2"/>
    </row>
    <row r="403" spans="2:4" s="16" customFormat="1" x14ac:dyDescent="0.4">
      <c r="B403" s="2"/>
      <c r="C403" s="2"/>
      <c r="D403" s="2"/>
    </row>
    <row r="404" spans="2:4" s="16" customFormat="1" x14ac:dyDescent="0.4">
      <c r="B404" s="2"/>
      <c r="C404" s="2"/>
      <c r="D404" s="2"/>
    </row>
    <row r="405" spans="2:4" s="16" customFormat="1" x14ac:dyDescent="0.4">
      <c r="B405" s="2"/>
      <c r="C405" s="2"/>
      <c r="D405" s="2"/>
    </row>
    <row r="406" spans="2:4" s="16" customFormat="1" x14ac:dyDescent="0.4">
      <c r="B406" s="2"/>
      <c r="C406" s="2"/>
      <c r="D406" s="2"/>
    </row>
    <row r="407" spans="2:4" s="16" customFormat="1" x14ac:dyDescent="0.4">
      <c r="B407" s="2"/>
      <c r="C407" s="2"/>
      <c r="D407" s="2"/>
    </row>
    <row r="408" spans="2:4" s="16" customFormat="1" x14ac:dyDescent="0.4">
      <c r="B408" s="2"/>
      <c r="C408" s="2"/>
      <c r="D408" s="2"/>
    </row>
    <row r="409" spans="2:4" s="16" customFormat="1" x14ac:dyDescent="0.4">
      <c r="B409" s="2"/>
      <c r="C409" s="2"/>
      <c r="D409" s="2"/>
    </row>
    <row r="410" spans="2:4" s="16" customFormat="1" x14ac:dyDescent="0.4">
      <c r="B410" s="2"/>
      <c r="C410" s="2"/>
      <c r="D410" s="2"/>
    </row>
    <row r="411" spans="2:4" s="16" customFormat="1" x14ac:dyDescent="0.4">
      <c r="B411" s="2"/>
      <c r="C411" s="2"/>
      <c r="D411" s="2"/>
    </row>
    <row r="412" spans="2:4" s="16" customFormat="1" x14ac:dyDescent="0.4">
      <c r="B412" s="2"/>
      <c r="C412" s="2"/>
      <c r="D412" s="2"/>
    </row>
    <row r="413" spans="2:4" s="16" customFormat="1" x14ac:dyDescent="0.4">
      <c r="B413" s="2"/>
      <c r="C413" s="2"/>
      <c r="D413" s="2"/>
    </row>
    <row r="414" spans="2:4" s="16" customFormat="1" x14ac:dyDescent="0.4">
      <c r="B414" s="2"/>
      <c r="C414" s="2"/>
      <c r="D414" s="2"/>
    </row>
    <row r="415" spans="2:4" s="16" customFormat="1" x14ac:dyDescent="0.4">
      <c r="B415" s="2"/>
      <c r="C415" s="2"/>
      <c r="D415" s="2"/>
    </row>
    <row r="416" spans="2:4" s="16" customFormat="1" x14ac:dyDescent="0.4">
      <c r="B416" s="2"/>
      <c r="C416" s="2"/>
      <c r="D416" s="2"/>
    </row>
    <row r="417" spans="2:4" s="16" customFormat="1" x14ac:dyDescent="0.4">
      <c r="B417" s="2"/>
      <c r="C417" s="2"/>
      <c r="D417" s="2"/>
    </row>
    <row r="418" spans="2:4" s="16" customFormat="1" x14ac:dyDescent="0.4">
      <c r="B418" s="2"/>
      <c r="C418" s="2"/>
      <c r="D418" s="2"/>
    </row>
    <row r="419" spans="2:4" s="16" customFormat="1" x14ac:dyDescent="0.4">
      <c r="B419" s="2"/>
      <c r="C419" s="2"/>
      <c r="D419" s="2"/>
    </row>
    <row r="420" spans="2:4" s="16" customFormat="1" x14ac:dyDescent="0.4">
      <c r="B420" s="2"/>
      <c r="C420" s="2"/>
      <c r="D420" s="2"/>
    </row>
    <row r="421" spans="2:4" s="16" customFormat="1" x14ac:dyDescent="0.4">
      <c r="B421" s="2"/>
      <c r="C421" s="2"/>
      <c r="D421" s="2"/>
    </row>
    <row r="422" spans="2:4" s="16" customFormat="1" x14ac:dyDescent="0.4">
      <c r="B422" s="2"/>
      <c r="C422" s="2"/>
      <c r="D422" s="2"/>
    </row>
    <row r="423" spans="2:4" s="16" customFormat="1" x14ac:dyDescent="0.4">
      <c r="B423" s="2"/>
      <c r="C423" s="2"/>
      <c r="D423" s="2"/>
    </row>
    <row r="424" spans="2:4" s="16" customFormat="1" x14ac:dyDescent="0.4">
      <c r="B424" s="2"/>
      <c r="C424" s="2"/>
      <c r="D424" s="2"/>
    </row>
    <row r="425" spans="2:4" s="16" customFormat="1" x14ac:dyDescent="0.4">
      <c r="B425" s="2"/>
      <c r="C425" s="2"/>
      <c r="D425" s="2"/>
    </row>
    <row r="426" spans="2:4" s="16" customFormat="1" x14ac:dyDescent="0.4">
      <c r="B426" s="2"/>
      <c r="C426" s="2"/>
      <c r="D426" s="2"/>
    </row>
    <row r="427" spans="2:4" s="16" customFormat="1" x14ac:dyDescent="0.4">
      <c r="B427" s="2"/>
      <c r="C427" s="2"/>
      <c r="D427" s="2"/>
    </row>
    <row r="428" spans="2:4" s="16" customFormat="1" x14ac:dyDescent="0.4">
      <c r="B428" s="2"/>
      <c r="C428" s="2"/>
      <c r="D428" s="2"/>
    </row>
    <row r="429" spans="2:4" s="16" customFormat="1" x14ac:dyDescent="0.4">
      <c r="B429" s="2"/>
      <c r="C429" s="2"/>
      <c r="D429" s="2"/>
    </row>
    <row r="430" spans="2:4" s="16" customFormat="1" x14ac:dyDescent="0.4">
      <c r="B430" s="2"/>
      <c r="C430" s="2"/>
      <c r="D430" s="2"/>
    </row>
    <row r="431" spans="2:4" s="16" customFormat="1" x14ac:dyDescent="0.4">
      <c r="B431" s="2"/>
      <c r="C431" s="2"/>
      <c r="D431" s="2"/>
    </row>
    <row r="432" spans="2:4" s="16" customFormat="1" x14ac:dyDescent="0.4">
      <c r="B432" s="2"/>
      <c r="C432" s="2"/>
      <c r="D432" s="2"/>
    </row>
    <row r="433" spans="2:4" s="16" customFormat="1" x14ac:dyDescent="0.4">
      <c r="B433" s="2"/>
      <c r="C433" s="2"/>
      <c r="D433" s="2"/>
    </row>
    <row r="434" spans="2:4" s="16" customFormat="1" x14ac:dyDescent="0.4">
      <c r="B434" s="2"/>
      <c r="C434" s="2"/>
      <c r="D434" s="2"/>
    </row>
    <row r="435" spans="2:4" s="16" customFormat="1" x14ac:dyDescent="0.4">
      <c r="B435" s="2"/>
      <c r="C435" s="2"/>
      <c r="D435" s="2"/>
    </row>
    <row r="436" spans="2:4" s="16" customFormat="1" x14ac:dyDescent="0.4">
      <c r="B436" s="2"/>
      <c r="C436" s="2"/>
      <c r="D436" s="2"/>
    </row>
    <row r="437" spans="2:4" s="16" customFormat="1" x14ac:dyDescent="0.4">
      <c r="B437" s="2"/>
      <c r="C437" s="2"/>
      <c r="D437" s="2"/>
    </row>
    <row r="438" spans="2:4" s="16" customFormat="1" x14ac:dyDescent="0.4">
      <c r="B438" s="2"/>
      <c r="C438" s="2"/>
      <c r="D438" s="2"/>
    </row>
    <row r="439" spans="2:4" s="16" customFormat="1" x14ac:dyDescent="0.4">
      <c r="B439" s="2"/>
      <c r="C439" s="2"/>
      <c r="D439" s="2"/>
    </row>
    <row r="440" spans="2:4" s="16" customFormat="1" x14ac:dyDescent="0.4">
      <c r="B440" s="2"/>
      <c r="C440" s="2"/>
      <c r="D440" s="2"/>
    </row>
    <row r="441" spans="2:4" s="16" customFormat="1" x14ac:dyDescent="0.4">
      <c r="B441" s="2"/>
      <c r="C441" s="2"/>
      <c r="D441" s="2"/>
    </row>
    <row r="442" spans="2:4" s="16" customFormat="1" x14ac:dyDescent="0.4">
      <c r="B442" s="2"/>
      <c r="C442" s="2"/>
      <c r="D442" s="2"/>
    </row>
    <row r="443" spans="2:4" s="16" customFormat="1" x14ac:dyDescent="0.4">
      <c r="B443" s="2"/>
      <c r="C443" s="2"/>
      <c r="D443" s="2"/>
    </row>
    <row r="444" spans="2:4" s="16" customFormat="1" x14ac:dyDescent="0.4">
      <c r="B444" s="2"/>
      <c r="C444" s="2"/>
      <c r="D444" s="2"/>
    </row>
    <row r="445" spans="2:4" s="16" customFormat="1" x14ac:dyDescent="0.4">
      <c r="B445" s="2"/>
      <c r="C445" s="2"/>
      <c r="D445" s="2"/>
    </row>
    <row r="446" spans="2:4" s="16" customFormat="1" x14ac:dyDescent="0.4">
      <c r="B446" s="2"/>
      <c r="C446" s="2"/>
      <c r="D446" s="2"/>
    </row>
    <row r="447" spans="2:4" s="16" customFormat="1" x14ac:dyDescent="0.4">
      <c r="B447" s="2"/>
      <c r="C447" s="2"/>
      <c r="D447" s="2"/>
    </row>
    <row r="448" spans="2:4" s="16" customFormat="1" x14ac:dyDescent="0.4">
      <c r="B448" s="2"/>
      <c r="C448" s="2"/>
      <c r="D448" s="2"/>
    </row>
    <row r="449" spans="1:12" s="16" customFormat="1" x14ac:dyDescent="0.4">
      <c r="B449" s="2"/>
      <c r="C449" s="2"/>
      <c r="D449" s="2"/>
    </row>
    <row r="450" spans="1:12" s="16" customFormat="1" x14ac:dyDescent="0.4">
      <c r="B450" s="2"/>
      <c r="C450" s="2"/>
      <c r="D450" s="2"/>
    </row>
    <row r="451" spans="1:12" s="16" customFormat="1" x14ac:dyDescent="0.4">
      <c r="B451" s="2"/>
      <c r="C451" s="2"/>
      <c r="D451" s="2"/>
    </row>
    <row r="452" spans="1:12" s="16" customFormat="1" x14ac:dyDescent="0.4">
      <c r="B452" s="2"/>
      <c r="C452" s="2"/>
      <c r="D452" s="2"/>
    </row>
    <row r="453" spans="1:12" s="16" customFormat="1" x14ac:dyDescent="0.4">
      <c r="B453" s="2"/>
      <c r="C453" s="2"/>
      <c r="D453" s="2"/>
    </row>
    <row r="454" spans="1:12" s="16" customFormat="1" x14ac:dyDescent="0.4">
      <c r="B454" s="2"/>
      <c r="C454" s="2"/>
      <c r="D454" s="2"/>
    </row>
    <row r="455" spans="1:12" s="16" customFormat="1" x14ac:dyDescent="0.4">
      <c r="B455" s="2"/>
      <c r="C455" s="2"/>
      <c r="D455" s="2"/>
    </row>
    <row r="456" spans="1:12" s="16" customFormat="1" x14ac:dyDescent="0.4">
      <c r="B456" s="2"/>
      <c r="C456" s="2"/>
      <c r="D456" s="2"/>
    </row>
    <row r="457" spans="1:12" s="16" customFormat="1" x14ac:dyDescent="0.4">
      <c r="B457" s="2"/>
      <c r="C457" s="2"/>
      <c r="D457" s="2"/>
    </row>
    <row r="458" spans="1:12" s="16" customFormat="1" x14ac:dyDescent="0.4">
      <c r="A458" s="2"/>
      <c r="B458" s="2"/>
      <c r="C458" s="2"/>
      <c r="D458" s="11"/>
      <c r="E458" s="2"/>
      <c r="F458" s="2"/>
      <c r="G458" s="2"/>
      <c r="H458" s="2"/>
      <c r="J458" s="2"/>
      <c r="K458" s="2"/>
      <c r="L458" s="2"/>
    </row>
    <row r="459" spans="1:12" s="16" customFormat="1" x14ac:dyDescent="0.4">
      <c r="A459" s="2"/>
      <c r="B459" s="2"/>
      <c r="C459" s="2"/>
      <c r="D459" s="11"/>
      <c r="E459" s="2"/>
      <c r="F459" s="2"/>
      <c r="G459" s="2"/>
      <c r="H459" s="2"/>
      <c r="J459" s="2"/>
      <c r="K459" s="2"/>
      <c r="L459" s="2"/>
    </row>
    <row r="460" spans="1:12" s="16" customFormat="1" x14ac:dyDescent="0.4">
      <c r="A460" s="2"/>
      <c r="B460" s="2"/>
      <c r="C460" s="2"/>
      <c r="D460" s="11"/>
      <c r="E460" s="2"/>
      <c r="F460" s="2"/>
      <c r="G460" s="2"/>
      <c r="H460" s="2"/>
      <c r="J460" s="2"/>
      <c r="K460" s="2"/>
      <c r="L460" s="2"/>
    </row>
    <row r="461" spans="1:12" s="16" customFormat="1" x14ac:dyDescent="0.4">
      <c r="A461" s="2"/>
      <c r="B461" s="2"/>
      <c r="C461" s="2"/>
      <c r="D461" s="11"/>
      <c r="E461" s="2"/>
      <c r="F461" s="2"/>
      <c r="G461" s="2"/>
      <c r="H461" s="2"/>
      <c r="J461" s="2"/>
      <c r="K461" s="2"/>
      <c r="L461" s="2"/>
    </row>
    <row r="462" spans="1:12" s="16" customFormat="1" x14ac:dyDescent="0.4">
      <c r="A462" s="2"/>
      <c r="B462" s="2"/>
      <c r="C462" s="2"/>
      <c r="D462" s="11"/>
      <c r="E462" s="2"/>
      <c r="F462" s="2"/>
      <c r="G462" s="2"/>
      <c r="H462" s="2"/>
      <c r="J462" s="2"/>
      <c r="K462" s="2"/>
      <c r="L462" s="2"/>
    </row>
    <row r="463" spans="1:12" s="16" customFormat="1" x14ac:dyDescent="0.4">
      <c r="A463" s="2"/>
      <c r="B463" s="2"/>
      <c r="C463" s="2"/>
      <c r="D463" s="11"/>
      <c r="E463" s="2"/>
      <c r="F463" s="2"/>
      <c r="G463" s="2"/>
      <c r="H463" s="2"/>
      <c r="J463" s="2"/>
      <c r="K463" s="2"/>
      <c r="L463" s="2"/>
    </row>
    <row r="464" spans="1:12" s="16" customFormat="1" x14ac:dyDescent="0.4">
      <c r="A464" s="2"/>
      <c r="B464" s="2"/>
      <c r="C464" s="2"/>
      <c r="D464" s="11"/>
      <c r="E464" s="2"/>
      <c r="F464" s="2"/>
      <c r="G464" s="2"/>
      <c r="H464" s="2"/>
      <c r="J464" s="2"/>
      <c r="K464" s="2"/>
      <c r="L464" s="2"/>
    </row>
    <row r="465" spans="1:12" s="16" customFormat="1" x14ac:dyDescent="0.4">
      <c r="A465" s="2"/>
      <c r="B465" s="2"/>
      <c r="C465" s="2"/>
      <c r="D465" s="11"/>
      <c r="E465" s="2"/>
      <c r="F465" s="2"/>
      <c r="G465" s="2"/>
      <c r="H465" s="2"/>
      <c r="J465" s="2"/>
      <c r="K465" s="2"/>
      <c r="L465" s="2"/>
    </row>
    <row r="466" spans="1:12" s="16" customFormat="1" x14ac:dyDescent="0.4">
      <c r="A466" s="2"/>
      <c r="B466" s="2"/>
      <c r="C466" s="2"/>
      <c r="D466" s="11"/>
      <c r="E466" s="2"/>
      <c r="F466" s="2"/>
      <c r="G466" s="2"/>
      <c r="H466" s="2"/>
      <c r="J466" s="2"/>
      <c r="K466" s="2"/>
      <c r="L466" s="2"/>
    </row>
    <row r="467" spans="1:12" s="16" customFormat="1" x14ac:dyDescent="0.4">
      <c r="A467" s="2"/>
      <c r="B467" s="2"/>
      <c r="C467" s="2"/>
      <c r="D467" s="11"/>
      <c r="E467" s="2"/>
      <c r="F467" s="2"/>
      <c r="G467" s="2"/>
      <c r="H467" s="2"/>
      <c r="J467" s="2"/>
      <c r="K467" s="2"/>
      <c r="L467" s="2"/>
    </row>
    <row r="468" spans="1:12" s="16" customFormat="1" x14ac:dyDescent="0.4">
      <c r="A468" s="2"/>
      <c r="B468" s="2"/>
      <c r="C468" s="2"/>
      <c r="D468" s="11"/>
      <c r="E468" s="2"/>
      <c r="F468" s="2"/>
      <c r="G468" s="2"/>
      <c r="H468" s="2"/>
      <c r="J468" s="2"/>
      <c r="K468" s="2"/>
      <c r="L468" s="2"/>
    </row>
    <row r="469" spans="1:12" s="16" customFormat="1" x14ac:dyDescent="0.4">
      <c r="A469" s="2"/>
      <c r="B469" s="2"/>
      <c r="C469" s="2"/>
      <c r="D469" s="11"/>
      <c r="E469" s="2"/>
      <c r="F469" s="2"/>
      <c r="G469" s="2"/>
      <c r="H469" s="2"/>
      <c r="J469" s="2"/>
      <c r="K469" s="2"/>
      <c r="L469" s="2"/>
    </row>
    <row r="470" spans="1:12" s="16" customFormat="1" x14ac:dyDescent="0.4">
      <c r="A470" s="2"/>
      <c r="B470" s="2"/>
      <c r="C470" s="2"/>
      <c r="D470" s="11"/>
      <c r="E470" s="2"/>
      <c r="F470" s="2"/>
      <c r="G470" s="2"/>
      <c r="H470" s="2"/>
      <c r="J470" s="2"/>
      <c r="K470" s="2"/>
      <c r="L470" s="2"/>
    </row>
    <row r="471" spans="1:12" s="16" customFormat="1" x14ac:dyDescent="0.4">
      <c r="A471" s="2"/>
      <c r="B471" s="2"/>
      <c r="C471" s="2"/>
      <c r="D471" s="11"/>
      <c r="E471" s="2"/>
      <c r="F471" s="2"/>
      <c r="G471" s="2"/>
      <c r="H471" s="2"/>
      <c r="J471" s="2"/>
      <c r="K471" s="2"/>
      <c r="L471" s="2"/>
    </row>
    <row r="472" spans="1:12" s="16" customFormat="1" x14ac:dyDescent="0.4">
      <c r="A472" s="2"/>
      <c r="B472" s="2"/>
      <c r="C472" s="2"/>
      <c r="D472" s="11"/>
      <c r="E472" s="2"/>
      <c r="F472" s="2"/>
      <c r="G472" s="2"/>
      <c r="H472" s="2"/>
      <c r="J472" s="2"/>
      <c r="K472" s="2"/>
      <c r="L472" s="2"/>
    </row>
    <row r="473" spans="1:12" s="16" customFormat="1" x14ac:dyDescent="0.4">
      <c r="A473" s="2"/>
      <c r="B473" s="2"/>
      <c r="C473" s="2"/>
      <c r="D473" s="11"/>
      <c r="E473" s="2"/>
      <c r="F473" s="2"/>
      <c r="G473" s="2"/>
      <c r="H473" s="2"/>
      <c r="J473" s="2"/>
      <c r="K473" s="2"/>
      <c r="L473" s="2"/>
    </row>
    <row r="474" spans="1:12" s="16" customFormat="1" x14ac:dyDescent="0.4">
      <c r="A474" s="2"/>
      <c r="B474" s="2"/>
      <c r="C474" s="2"/>
      <c r="D474" s="11"/>
      <c r="E474" s="2"/>
      <c r="F474" s="2"/>
      <c r="G474" s="2"/>
      <c r="H474" s="2"/>
      <c r="J474" s="2"/>
      <c r="K474" s="2"/>
      <c r="L474" s="2"/>
    </row>
    <row r="475" spans="1:12" s="16" customFormat="1" x14ac:dyDescent="0.4">
      <c r="A475" s="2"/>
      <c r="B475" s="2"/>
      <c r="C475" s="2"/>
      <c r="D475" s="11"/>
      <c r="E475" s="2"/>
      <c r="F475" s="2"/>
      <c r="G475" s="2"/>
      <c r="H475" s="2"/>
      <c r="J475" s="2"/>
      <c r="K475" s="2"/>
      <c r="L475" s="2"/>
    </row>
    <row r="476" spans="1:12" s="16" customFormat="1" x14ac:dyDescent="0.4">
      <c r="A476" s="2"/>
      <c r="B476" s="2"/>
      <c r="C476" s="2"/>
      <c r="D476" s="11"/>
      <c r="E476" s="2"/>
      <c r="F476" s="2"/>
      <c r="G476" s="2"/>
      <c r="H476" s="2"/>
      <c r="J476" s="2"/>
      <c r="K476" s="2"/>
      <c r="L476" s="2"/>
    </row>
    <row r="477" spans="1:12" s="16" customFormat="1" x14ac:dyDescent="0.4">
      <c r="A477" s="2"/>
      <c r="B477" s="2"/>
      <c r="C477" s="2"/>
      <c r="D477" s="11"/>
      <c r="E477" s="2"/>
      <c r="F477" s="2"/>
      <c r="G477" s="2"/>
      <c r="H477" s="2"/>
      <c r="J477" s="2"/>
      <c r="K477" s="2"/>
      <c r="L477" s="2"/>
    </row>
    <row r="478" spans="1:12" s="16" customFormat="1" x14ac:dyDescent="0.4">
      <c r="A478" s="2"/>
      <c r="B478" s="2"/>
      <c r="C478" s="2"/>
      <c r="D478" s="11"/>
      <c r="E478" s="2"/>
      <c r="F478" s="2"/>
      <c r="G478" s="2"/>
      <c r="H478" s="2"/>
      <c r="J478" s="2"/>
      <c r="K478" s="2"/>
      <c r="L478" s="2"/>
    </row>
    <row r="479" spans="1:12" s="16" customFormat="1" x14ac:dyDescent="0.4">
      <c r="A479" s="2"/>
      <c r="B479" s="2"/>
      <c r="C479" s="2"/>
      <c r="D479" s="11"/>
      <c r="E479" s="2"/>
      <c r="F479" s="2"/>
      <c r="G479" s="2"/>
      <c r="H479" s="2"/>
      <c r="J479" s="2"/>
      <c r="K479" s="2"/>
      <c r="L479" s="2"/>
    </row>
    <row r="480" spans="1:12" s="16" customFormat="1" x14ac:dyDescent="0.4">
      <c r="A480" s="2"/>
      <c r="B480" s="2"/>
      <c r="C480" s="2"/>
      <c r="D480" s="11"/>
      <c r="E480" s="2"/>
      <c r="F480" s="2"/>
      <c r="G480" s="2"/>
      <c r="H480" s="2"/>
      <c r="J480" s="2"/>
      <c r="K480" s="2"/>
      <c r="L480" s="2"/>
    </row>
    <row r="481" spans="1:12" s="16" customFormat="1" x14ac:dyDescent="0.4">
      <c r="A481" s="2"/>
      <c r="B481" s="2"/>
      <c r="C481" s="2"/>
      <c r="D481" s="11"/>
      <c r="E481" s="2"/>
      <c r="F481" s="2"/>
      <c r="G481" s="2"/>
      <c r="H481" s="2"/>
      <c r="J481" s="2"/>
      <c r="K481" s="2"/>
      <c r="L481" s="2"/>
    </row>
    <row r="482" spans="1:12" s="16" customFormat="1" x14ac:dyDescent="0.4">
      <c r="A482" s="2"/>
      <c r="B482" s="2"/>
      <c r="C482" s="2"/>
      <c r="D482" s="11"/>
      <c r="E482" s="2"/>
      <c r="F482" s="2"/>
      <c r="G482" s="2"/>
      <c r="H482" s="2"/>
      <c r="J482" s="2"/>
      <c r="K482" s="2"/>
      <c r="L482" s="2"/>
    </row>
    <row r="483" spans="1:12" s="16" customFormat="1" x14ac:dyDescent="0.4">
      <c r="A483" s="2"/>
      <c r="B483" s="2"/>
      <c r="C483" s="2"/>
      <c r="D483" s="11"/>
      <c r="E483" s="2"/>
      <c r="F483" s="2"/>
      <c r="G483" s="2"/>
      <c r="H483" s="2"/>
      <c r="J483" s="2"/>
      <c r="K483" s="2"/>
      <c r="L483" s="2"/>
    </row>
    <row r="484" spans="1:12" s="16" customFormat="1" x14ac:dyDescent="0.4">
      <c r="A484" s="2"/>
      <c r="B484" s="2"/>
      <c r="C484" s="2"/>
      <c r="D484" s="11"/>
      <c r="E484" s="2"/>
      <c r="F484" s="2"/>
      <c r="G484" s="2"/>
      <c r="H484" s="2"/>
      <c r="J484" s="2"/>
      <c r="K484" s="2"/>
      <c r="L484" s="2"/>
    </row>
    <row r="485" spans="1:12" s="16" customFormat="1" x14ac:dyDescent="0.4">
      <c r="A485" s="2"/>
      <c r="B485" s="2"/>
      <c r="C485" s="2"/>
      <c r="D485" s="11"/>
      <c r="E485" s="2"/>
      <c r="F485" s="2"/>
      <c r="G485" s="2"/>
      <c r="H485" s="2"/>
      <c r="J485" s="2"/>
      <c r="K485" s="2"/>
      <c r="L485" s="2"/>
    </row>
    <row r="486" spans="1:12" s="16" customFormat="1" x14ac:dyDescent="0.4">
      <c r="A486" s="2"/>
      <c r="B486" s="2"/>
      <c r="C486" s="2"/>
      <c r="D486" s="11"/>
      <c r="E486" s="2"/>
      <c r="F486" s="2"/>
      <c r="G486" s="2"/>
      <c r="H486" s="2"/>
      <c r="J486" s="2"/>
      <c r="K486" s="2"/>
      <c r="L486" s="2"/>
    </row>
    <row r="487" spans="1:12" s="16" customFormat="1" x14ac:dyDescent="0.4">
      <c r="A487" s="2"/>
      <c r="B487" s="2"/>
      <c r="C487" s="2"/>
      <c r="D487" s="11"/>
      <c r="E487" s="2"/>
      <c r="F487" s="2"/>
      <c r="G487" s="2"/>
      <c r="H487" s="2"/>
      <c r="J487" s="2"/>
      <c r="K487" s="2"/>
      <c r="L487" s="2"/>
    </row>
    <row r="488" spans="1:12" s="16" customFormat="1" x14ac:dyDescent="0.4">
      <c r="A488" s="2"/>
      <c r="B488" s="2"/>
      <c r="C488" s="2"/>
      <c r="D488" s="11"/>
      <c r="E488" s="2"/>
      <c r="F488" s="2"/>
      <c r="G488" s="2"/>
      <c r="H488" s="2"/>
      <c r="J488" s="2"/>
      <c r="K488" s="2"/>
      <c r="L488" s="2"/>
    </row>
    <row r="489" spans="1:12" s="16" customFormat="1" x14ac:dyDescent="0.4">
      <c r="A489" s="2"/>
      <c r="B489" s="2"/>
      <c r="C489" s="2"/>
      <c r="D489" s="11"/>
      <c r="E489" s="2"/>
      <c r="F489" s="2"/>
      <c r="G489" s="2"/>
      <c r="H489" s="2"/>
      <c r="J489" s="2"/>
      <c r="K489" s="2"/>
      <c r="L489" s="2"/>
    </row>
    <row r="490" spans="1:12" s="16" customFormat="1" x14ac:dyDescent="0.4">
      <c r="A490" s="2"/>
      <c r="B490" s="2"/>
      <c r="C490" s="2"/>
      <c r="D490" s="11"/>
      <c r="E490" s="2"/>
      <c r="F490" s="2"/>
      <c r="G490" s="2"/>
      <c r="H490" s="2"/>
      <c r="J490" s="2"/>
      <c r="K490" s="2"/>
      <c r="L490" s="2"/>
    </row>
    <row r="491" spans="1:12" s="16" customFormat="1" x14ac:dyDescent="0.4">
      <c r="A491" s="2"/>
      <c r="B491" s="2"/>
      <c r="C491" s="2"/>
      <c r="D491" s="11"/>
      <c r="E491" s="2"/>
      <c r="F491" s="2"/>
      <c r="G491" s="2"/>
      <c r="H491" s="2"/>
      <c r="J491" s="2"/>
      <c r="K491" s="2"/>
      <c r="L491" s="2"/>
    </row>
    <row r="492" spans="1:12" s="16" customFormat="1" x14ac:dyDescent="0.4">
      <c r="A492" s="2"/>
      <c r="B492" s="2"/>
      <c r="C492" s="2"/>
      <c r="D492" s="11"/>
      <c r="E492" s="2"/>
      <c r="F492" s="2"/>
      <c r="G492" s="2"/>
      <c r="H492" s="2"/>
      <c r="J492" s="2"/>
      <c r="K492" s="2"/>
      <c r="L492" s="2"/>
    </row>
    <row r="493" spans="1:12" s="16" customFormat="1" x14ac:dyDescent="0.4">
      <c r="A493" s="2"/>
      <c r="B493" s="2"/>
      <c r="C493" s="2"/>
      <c r="D493" s="11"/>
      <c r="E493" s="2"/>
      <c r="F493" s="2"/>
      <c r="G493" s="2"/>
      <c r="H493" s="2"/>
      <c r="J493" s="2"/>
      <c r="K493" s="2"/>
      <c r="L493" s="2"/>
    </row>
  </sheetData>
  <sortState ref="A2:H505">
    <sortCondition ref="A1"/>
  </sortState>
  <phoneticPr fontId="2" type="noConversion"/>
  <hyperlinks>
    <hyperlink ref="B2" r:id="rId1" display="https://www.slickcharts.com/symbol/AAPL" xr:uid="{CFC947BF-1654-43BD-B7B9-CD2B81A932A3}"/>
    <hyperlink ref="C2" r:id="rId2" display="https://www.slickcharts.com/symbol/AAPL" xr:uid="{21BE07EB-6DAF-4DCC-B67F-BE7A6A838C56}"/>
    <hyperlink ref="B3" r:id="rId3" display="https://www.slickcharts.com/symbol/MSFT" xr:uid="{3EFA3B67-97D5-4AD1-B006-01FCAD594763}"/>
    <hyperlink ref="C3" r:id="rId4" display="https://www.slickcharts.com/symbol/MSFT" xr:uid="{DC0812F8-17DB-4EB7-810C-8BF27BC2666F}"/>
    <hyperlink ref="B4" r:id="rId5" display="https://www.slickcharts.com/symbol/NVDA" xr:uid="{C2DF66C5-2A5B-4309-82CD-5C1F16A836CD}"/>
    <hyperlink ref="C4" r:id="rId6" display="https://www.slickcharts.com/symbol/NVDA" xr:uid="{AFC3C8D3-B28D-4720-9546-D5CCE5E8F2AC}"/>
    <hyperlink ref="B5" r:id="rId7" display="https://www.slickcharts.com/symbol/AMZN" xr:uid="{DA580704-1D06-4A2D-9972-80D618D46A75}"/>
    <hyperlink ref="C5" r:id="rId8" display="https://www.slickcharts.com/symbol/AMZN" xr:uid="{4AF1403E-7C76-4F3B-8B93-01F05C884CA0}"/>
    <hyperlink ref="B6" r:id="rId9" display="https://www.slickcharts.com/symbol/META" xr:uid="{F4078CFA-FDDE-4FB0-B38B-15E606357A8C}"/>
    <hyperlink ref="C6" r:id="rId10" display="https://www.slickcharts.com/symbol/META" xr:uid="{0DC1156E-54FE-416E-B3EB-A8D9391770B2}"/>
    <hyperlink ref="B7" r:id="rId11" display="https://www.slickcharts.com/symbol/BRK.B" xr:uid="{23CE64A5-370C-4CDB-9354-DE427D3B387D}"/>
    <hyperlink ref="C7" r:id="rId12" display="https://www.slickcharts.com/symbol/BRK.B" xr:uid="{535940C2-281D-40BF-9DF6-56A68E13B769}"/>
    <hyperlink ref="B8" r:id="rId13" display="https://www.slickcharts.com/symbol/GOOGL" xr:uid="{49DDA49B-F7B6-4222-ADA9-9E0917B33EBA}"/>
    <hyperlink ref="C8" r:id="rId14" display="https://www.slickcharts.com/symbol/GOOGL" xr:uid="{5B905A38-0CF6-4643-A219-7A68241165C2}"/>
    <hyperlink ref="B9" r:id="rId15" display="https://www.slickcharts.com/symbol/AVGO" xr:uid="{FB69B077-1BD5-42CF-8D9C-8E9CC25C7236}"/>
    <hyperlink ref="C9" r:id="rId16" display="https://www.slickcharts.com/symbol/AVGO" xr:uid="{32AF00C0-C475-4B06-ABBC-16353220D095}"/>
    <hyperlink ref="B10" r:id="rId17" display="https://www.slickcharts.com/symbol/TSLA" xr:uid="{0963AF06-9E0F-4B88-8AF5-B381082198B8}"/>
    <hyperlink ref="C10" r:id="rId18" display="https://www.slickcharts.com/symbol/TSLA" xr:uid="{5D74E108-21A3-4540-947D-4E875B43AED3}"/>
    <hyperlink ref="B11" r:id="rId19" display="https://www.slickcharts.com/symbol/JPM" xr:uid="{E53AD229-C7EF-4AEE-8552-F918A850A01F}"/>
    <hyperlink ref="C11" r:id="rId20" display="https://www.slickcharts.com/symbol/JPM" xr:uid="{F97C804D-2A69-45AE-B3CD-E1053630AF82}"/>
    <hyperlink ref="B12" r:id="rId21" display="https://www.slickcharts.com/symbol/LLY" xr:uid="{D58DBEDC-6EA7-480D-9692-D3AA569210F0}"/>
    <hyperlink ref="C12" r:id="rId22" display="https://www.slickcharts.com/symbol/LLY" xr:uid="{F2CBA1DD-B734-4F12-91C1-4B536425832F}"/>
    <hyperlink ref="B13" r:id="rId23" display="https://www.slickcharts.com/symbol/XOM" xr:uid="{44446D26-185E-4972-8848-65E5C09DC63B}"/>
    <hyperlink ref="C13" r:id="rId24" display="https://www.slickcharts.com/symbol/XOM" xr:uid="{7CE6C642-6CB8-466A-8D51-BA28E8DE809C}"/>
    <hyperlink ref="B14" r:id="rId25" display="https://www.slickcharts.com/symbol/COST" xr:uid="{2BDAAB8E-02B0-4560-B0A7-AA5D1C832790}"/>
    <hyperlink ref="C14" r:id="rId26" display="https://www.slickcharts.com/symbol/COST" xr:uid="{28E63C81-210F-4871-B812-3B0841ABB8FE}"/>
    <hyperlink ref="B15" r:id="rId27" display="https://www.slickcharts.com/symbol/WMT" xr:uid="{9A2FDFCB-F35A-4FB5-AC9F-0719163243D1}"/>
    <hyperlink ref="C15" r:id="rId28" display="https://www.slickcharts.com/symbol/WMT" xr:uid="{4096F69E-88A8-49CB-863F-2BBDDD12F48F}"/>
    <hyperlink ref="B16" r:id="rId29" display="https://www.slickcharts.com/symbol/PG" xr:uid="{9F0DF782-34E4-4F78-85DF-A3CF3E7CE74E}"/>
    <hyperlink ref="C16" r:id="rId30" display="https://www.slickcharts.com/symbol/PG" xr:uid="{B4B9A421-E7EE-44B6-AC67-4C5900DB0734}"/>
    <hyperlink ref="B17" r:id="rId31" display="https://www.slickcharts.com/symbol/JNJ" xr:uid="{87CBFEA9-0BAF-47DE-AE6E-81DFD17B4ABE}"/>
    <hyperlink ref="C17" r:id="rId32" display="https://www.slickcharts.com/symbol/JNJ" xr:uid="{7C0A5E14-7253-4285-92E4-C4816F4F13A6}"/>
    <hyperlink ref="B18" r:id="rId33" display="https://www.slickcharts.com/symbol/UNH" xr:uid="{A7773D4E-C5C6-4A3D-8596-300521D091AB}"/>
    <hyperlink ref="C18" r:id="rId34" display="https://www.slickcharts.com/symbol/UNH" xr:uid="{58BED74B-703F-49B7-B115-94243FBFA8A2}"/>
    <hyperlink ref="B19" r:id="rId35" display="https://www.slickcharts.com/symbol/HD" xr:uid="{18F9E8DC-35FC-4EC2-9D58-7BC79C382678}"/>
    <hyperlink ref="C19" r:id="rId36" display="https://www.slickcharts.com/symbol/HD" xr:uid="{12C1F3E3-1C68-4581-BAAA-F77EE235067A}"/>
    <hyperlink ref="B20" r:id="rId37" display="https://www.slickcharts.com/symbol/ABBV" xr:uid="{ABEA4D1A-139B-4D95-BC41-080373F611D1}"/>
    <hyperlink ref="C20" r:id="rId38" display="https://www.slickcharts.com/symbol/ABBV" xr:uid="{19E759C0-39F9-43A2-B299-FDB2F33C7A38}"/>
    <hyperlink ref="B21" r:id="rId39" display="https://www.slickcharts.com/symbol/KO" xr:uid="{358E7211-6439-458A-A4FE-D9E61AFC1C19}"/>
    <hyperlink ref="C21" r:id="rId40" display="https://www.slickcharts.com/symbol/KO" xr:uid="{4A80B8AF-81A1-4545-887E-45F48951F0BD}"/>
    <hyperlink ref="B22" r:id="rId41" display="https://www.slickcharts.com/symbol/BAC" xr:uid="{B4802EFF-B166-48B1-AC6B-1D898C89ACA7}"/>
    <hyperlink ref="C22" r:id="rId42" display="https://www.slickcharts.com/symbol/BAC" xr:uid="{2CE68A2E-14CC-4036-814F-0D8B5EA00F82}"/>
    <hyperlink ref="B23" r:id="rId43" display="https://www.slickcharts.com/symbol/PM" xr:uid="{DC0D6020-BA43-407B-A6E2-C826C14B3200}"/>
    <hyperlink ref="C23" r:id="rId44" display="https://www.slickcharts.com/symbol/PM" xr:uid="{A609B937-185A-4761-8C7A-24B0CD74B702}"/>
    <hyperlink ref="B24" r:id="rId45" display="https://www.slickcharts.com/symbol/CRM" xr:uid="{D2D590D2-14B9-49CC-B256-524EC9630BA1}"/>
    <hyperlink ref="C24" r:id="rId46" display="https://www.slickcharts.com/symbol/CRM" xr:uid="{5D39517E-DFD6-4954-BA14-FCEE07EE0141}"/>
    <hyperlink ref="B25" r:id="rId47" display="https://www.slickcharts.com/symbol/PLTR" xr:uid="{7A990A15-CE97-42AF-B84B-1B3E655E422B}"/>
    <hyperlink ref="C25" r:id="rId48" display="https://www.slickcharts.com/symbol/PLTR" xr:uid="{4DD355A3-AEB7-4C9B-ACD8-FF3A56C7D88D}"/>
    <hyperlink ref="B26" r:id="rId49" display="https://www.slickcharts.com/symbol/WFC" xr:uid="{3DB0DB02-ABC8-4276-84C6-9190027EAA48}"/>
    <hyperlink ref="C26" r:id="rId50" display="https://www.slickcharts.com/symbol/WFC" xr:uid="{77498C7E-DFCD-40EF-BCD3-6E575DA4AB8F}"/>
    <hyperlink ref="B27" r:id="rId51" display="https://www.slickcharts.com/symbol/CVX" xr:uid="{049F58CF-5CE6-4DB2-8C63-5FA6EDF4DB9B}"/>
    <hyperlink ref="C27" r:id="rId52" display="https://www.slickcharts.com/symbol/CVX" xr:uid="{D770C40D-A949-4C5D-9906-DF9E2DF1ED79}"/>
    <hyperlink ref="B28" r:id="rId53" display="https://www.slickcharts.com/symbol/ABT" xr:uid="{D6940EC2-7BBE-47EE-A2E1-567A80D5AFFE}"/>
    <hyperlink ref="C28" r:id="rId54" display="https://www.slickcharts.com/symbol/ABT" xr:uid="{10A54CF8-CEB6-487A-BCCF-BCDA4535A7FD}"/>
    <hyperlink ref="B29" r:id="rId55" display="https://www.slickcharts.com/symbol/MCD" xr:uid="{3FD07C69-554A-45D3-B04B-FD22DE19A6E2}"/>
    <hyperlink ref="C29" r:id="rId56" display="https://www.slickcharts.com/symbol/MCD" xr:uid="{39D03B03-BFEB-4D5E-9732-560AD22E9A05}"/>
    <hyperlink ref="B30" r:id="rId57" display="https://www.slickcharts.com/symbol/GE" xr:uid="{2CB8C309-6D0C-495D-B695-BFD3BBEC13A0}"/>
    <hyperlink ref="C30" r:id="rId58" display="https://www.slickcharts.com/symbol/GE" xr:uid="{75299EAB-19E4-4100-8D52-7C77A7E8E614}"/>
    <hyperlink ref="B31" r:id="rId59" display="https://www.slickcharts.com/symbol/LIN" xr:uid="{FD40EF08-95CA-4889-8D31-ABBF65F51086}"/>
    <hyperlink ref="C31" r:id="rId60" display="https://www.slickcharts.com/symbol/LIN" xr:uid="{917F1B92-A632-43A1-885E-13359FF933E2}"/>
    <hyperlink ref="B32" r:id="rId61" display="https://www.slickcharts.com/symbol/MRK" xr:uid="{954AF7F8-EA64-478E-A3C7-70195F019E2B}"/>
    <hyperlink ref="C32" r:id="rId62" display="https://www.slickcharts.com/symbol/MRK" xr:uid="{97CE7734-02FD-43A3-901A-534AEF7655D3}"/>
    <hyperlink ref="B33" r:id="rId63" display="https://www.slickcharts.com/symbol/T" xr:uid="{9CAA43F5-09C1-4A87-814E-C2EF7E2B23B1}"/>
    <hyperlink ref="C33" r:id="rId64" display="https://www.slickcharts.com/symbol/T" xr:uid="{7859673A-EC2B-4405-8DC8-2BFA0F75ADCF}"/>
    <hyperlink ref="B34" r:id="rId65" display="https://www.slickcharts.com/symbol/ISRG" xr:uid="{33F2DF08-FD41-4C6B-8B38-F2F1BBDB6A5D}"/>
    <hyperlink ref="C34" r:id="rId66" display="https://www.slickcharts.com/symbol/ISRG" xr:uid="{6C41855D-7654-4318-BFA9-E7126075C974}"/>
    <hyperlink ref="B35" r:id="rId67" display="https://www.slickcharts.com/symbol/PEP" xr:uid="{775BC25C-916A-4F68-ABA7-E7DAA1AB52E9}"/>
    <hyperlink ref="C35" r:id="rId68" display="https://www.slickcharts.com/symbol/PEP" xr:uid="{1E618B5C-6F9E-45CF-8A37-8F8519876E5F}"/>
    <hyperlink ref="B36" r:id="rId69" display="https://www.slickcharts.com/symbol/VZ" xr:uid="{2C492BA0-BB1C-468D-9631-5E245D849B4F}"/>
    <hyperlink ref="C36" r:id="rId70" display="https://www.slickcharts.com/symbol/VZ" xr:uid="{BB182FFB-97FB-419D-A21E-DC497F4AB4FA}"/>
    <hyperlink ref="B37" r:id="rId71" display="https://www.slickcharts.com/symbol/GS" xr:uid="{7F92AE55-318F-4F30-BDCE-4BE487E81C4A}"/>
    <hyperlink ref="C37" r:id="rId72" display="https://www.slickcharts.com/symbol/GS" xr:uid="{313CF51E-61DE-401E-851C-8E513DE273CB}"/>
    <hyperlink ref="B38" r:id="rId73" display="https://www.slickcharts.com/symbol/RTX" xr:uid="{98761B2C-F8EF-4842-A607-D49F84849425}"/>
    <hyperlink ref="C38" r:id="rId74" display="https://www.slickcharts.com/symbol/RTX" xr:uid="{8486C685-7CBD-46C4-BAC7-B7EA4C5207DD}"/>
    <hyperlink ref="B39" r:id="rId75" display="https://www.slickcharts.com/symbol/PGR" xr:uid="{194AF440-1A46-42F0-94FE-FFB00BC23ECB}"/>
    <hyperlink ref="C39" r:id="rId76" display="https://www.slickcharts.com/symbol/PGR" xr:uid="{A828ADDB-A23C-48F4-BFC6-5C32A2DAA932}"/>
    <hyperlink ref="B40" r:id="rId77" display="https://www.slickcharts.com/symbol/AMGN" xr:uid="{AD09610F-CE7A-4BB9-829E-301DAA8DA0F9}"/>
    <hyperlink ref="C40" r:id="rId78" display="https://www.slickcharts.com/symbol/AMGN" xr:uid="{502A0EB7-8A6E-451E-8E62-47A80CA69EB4}"/>
    <hyperlink ref="B41" r:id="rId79" display="https://www.slickcharts.com/symbol/BSX" xr:uid="{09A9B55D-B785-4E94-A900-7B3086F3302A}"/>
    <hyperlink ref="C41" r:id="rId80" display="https://www.slickcharts.com/symbol/BSX" xr:uid="{90CB8DC0-257D-405A-87EF-61C2DAE8049F}"/>
    <hyperlink ref="B42" r:id="rId81" display="https://www.slickcharts.com/symbol/CAT" xr:uid="{6A94065F-2B2F-4004-95E6-BF044A44E5D3}"/>
    <hyperlink ref="C42" r:id="rId82" display="https://www.slickcharts.com/symbol/CAT" xr:uid="{7ECEDF07-9555-4CA2-A077-731A3E144492}"/>
    <hyperlink ref="B43" r:id="rId83" display="https://www.slickcharts.com/symbol/AXP" xr:uid="{4B53140B-7DCD-4122-AB60-55AD5B2FA755}"/>
    <hyperlink ref="C43" r:id="rId84" display="https://www.slickcharts.com/symbol/AXP" xr:uid="{E410FFB9-F319-429B-809F-6B8036DE5DD2}"/>
    <hyperlink ref="B44" r:id="rId85" display="https://www.slickcharts.com/symbol/TJX" xr:uid="{24C97B25-2F45-40E6-95B7-965B834EED6C}"/>
    <hyperlink ref="C44" r:id="rId86" display="https://www.slickcharts.com/symbol/TJX" xr:uid="{52237979-8FDD-4B19-929F-12DDC9213717}"/>
    <hyperlink ref="B45" r:id="rId87" display="https://www.slickcharts.com/symbol/BA" xr:uid="{1701BB63-974B-47F9-83F3-DA9697531836}"/>
    <hyperlink ref="C45" r:id="rId88" display="https://www.slickcharts.com/symbol/BA" xr:uid="{BE34F2F3-9E71-4D3E-9A30-ACE4D29C5452}"/>
    <hyperlink ref="B46" r:id="rId89" display="https://www.slickcharts.com/symbol/HON" xr:uid="{A9377B95-2B7C-483C-B5AE-854C10EE6A6E}"/>
    <hyperlink ref="C46" r:id="rId90" display="https://www.slickcharts.com/symbol/HON" xr:uid="{F6D81152-0EF3-4351-B4FF-4E0AECBB69D8}"/>
    <hyperlink ref="B47" r:id="rId91" display="https://www.slickcharts.com/symbol/NEE" xr:uid="{61BF79CE-5605-4E1D-AF55-E285FA40EB93}"/>
    <hyperlink ref="C47" r:id="rId92" display="https://www.slickcharts.com/symbol/NEE" xr:uid="{79E904FF-4E3D-4D10-A95D-1B9BE76BD5A7}"/>
    <hyperlink ref="B48" r:id="rId93" display="https://www.slickcharts.com/symbol/CMCSA" xr:uid="{F25428BD-2DC5-4A48-8266-C69ED9768F81}"/>
    <hyperlink ref="C48" r:id="rId94" display="https://www.slickcharts.com/symbol/CMCSA" xr:uid="{15ABA676-624E-404F-BA0E-09366525B4EF}"/>
    <hyperlink ref="B49" r:id="rId95" display="https://www.slickcharts.com/symbol/LOW" xr:uid="{28B866D3-E0BF-4FEC-8898-3E35FACF1ED5}"/>
    <hyperlink ref="C49" r:id="rId96" display="https://www.slickcharts.com/symbol/LOW" xr:uid="{B1479862-795D-42F8-BA24-604132AE499E}"/>
    <hyperlink ref="B50" r:id="rId97" display="https://www.slickcharts.com/symbol/DE" xr:uid="{B36EFEB3-6197-4ADB-B7AD-B8DCEA7E69F1}"/>
    <hyperlink ref="C50" r:id="rId98" display="https://www.slickcharts.com/symbol/DE" xr:uid="{B992BFB0-F1B4-4212-A7B8-D88CCBC21975}"/>
    <hyperlink ref="B51" r:id="rId99" display="https://www.slickcharts.com/symbol/ETN" xr:uid="{93E36CF8-074D-4CB9-BF37-970FCF63DA79}"/>
    <hyperlink ref="C51" r:id="rId100" display="https://www.slickcharts.com/symbol/ETN" xr:uid="{EC3E68D7-12C1-4FE5-8FD3-4C9C440E4243}"/>
    <hyperlink ref="B52" r:id="rId101" display="https://www.slickcharts.com/symbol/TMUS" xr:uid="{A62D2AAB-22D6-4EEB-AD4C-04E2C584416F}"/>
    <hyperlink ref="C52" r:id="rId102" display="https://www.slickcharts.com/symbol/TMUS" xr:uid="{91813648-4FA0-4437-92E7-83983DBD7FE7}"/>
    <hyperlink ref="B53" r:id="rId103" display="https://www.slickcharts.com/symbol/COP" xr:uid="{3F0B34DF-F9CF-4922-8F16-2903C3ADDCF3}"/>
    <hyperlink ref="C53" r:id="rId104" display="https://www.slickcharts.com/symbol/COP" xr:uid="{FEEE5F56-606F-4E39-BC93-817664CC3ED2}"/>
    <hyperlink ref="B54" r:id="rId105" display="https://www.slickcharts.com/symbol/GEV" xr:uid="{C2F3A2CF-084E-47CD-ACE3-5539CDE2EEAE}"/>
    <hyperlink ref="C54" r:id="rId106" display="https://www.slickcharts.com/symbol/GEV" xr:uid="{FEF48E66-2391-431F-9800-1E1532C35089}"/>
    <hyperlink ref="B55" r:id="rId107" display="https://www.slickcharts.com/symbol/MO" xr:uid="{987917E4-32F3-43A1-AE03-6393E9088A2B}"/>
    <hyperlink ref="C55" r:id="rId108" display="https://www.slickcharts.com/symbol/MO" xr:uid="{8647320B-26AA-40F4-8A91-4A6847604BFA}"/>
    <hyperlink ref="B56" r:id="rId109" display="https://www.slickcharts.com/symbol/SO" xr:uid="{66397BA0-F42C-41FE-AEC2-36DE49AA976A}"/>
    <hyperlink ref="C56" r:id="rId110" display="https://www.slickcharts.com/symbol/SO" xr:uid="{86E330E3-D746-42D9-8F6F-4FA754E7FDEA}"/>
    <hyperlink ref="B57" r:id="rId111" display="https://www.slickcharts.com/symbol/DUK" xr:uid="{A96D8A9A-5AB4-445E-82E8-589F26D88283}"/>
    <hyperlink ref="C57" r:id="rId112" display="https://www.slickcharts.com/symbol/DUK" xr:uid="{FEDA57D7-A12E-4FC7-AAF4-FDFBCE2210A2}"/>
    <hyperlink ref="B58" r:id="rId113" display="https://www.slickcharts.com/symbol/SBUX" xr:uid="{E03BB5D6-DF82-4C00-BA7A-21E84B423830}"/>
    <hyperlink ref="C58" r:id="rId114" display="https://www.slickcharts.com/symbol/SBUX" xr:uid="{28F32DAC-8783-4521-8771-381A80E0F842}"/>
    <hyperlink ref="B59" r:id="rId115" display="https://www.slickcharts.com/symbol/MDLZ" xr:uid="{ED94208E-9199-4E51-8245-11961943071D}"/>
    <hyperlink ref="C59" r:id="rId116" display="https://www.slickcharts.com/symbol/MDLZ" xr:uid="{4A1D3333-9DC9-4346-AD79-C41B529AC16F}"/>
    <hyperlink ref="B60" r:id="rId117" display="https://www.slickcharts.com/symbol/CEG" xr:uid="{7716A4A1-0BDB-4024-933A-638FE965A4A3}"/>
    <hyperlink ref="C60" r:id="rId118" display="https://www.slickcharts.com/symbol/CEG" xr:uid="{ED0563F2-AD35-4984-87E9-8FB14F07F2FD}"/>
    <hyperlink ref="B61" r:id="rId119" display="https://www.slickcharts.com/symbol/CL" xr:uid="{AE3965C5-96FF-4669-8E95-B3C4BC4234C8}"/>
    <hyperlink ref="C61" r:id="rId120" display="https://www.slickcharts.com/symbol/CL" xr:uid="{7BCE481B-387A-416E-993E-EBC79031A3E7}"/>
    <hyperlink ref="B62" r:id="rId121" display="https://www.slickcharts.com/symbol/CTAS" xr:uid="{8C266CE6-948E-40EF-9F7D-35A02458F8AE}"/>
    <hyperlink ref="C62" r:id="rId122" display="https://www.slickcharts.com/symbol/CTAS" xr:uid="{7A68C7EF-AB7D-459B-80DA-2B1C4539B5C2}"/>
    <hyperlink ref="B63" r:id="rId123" display="https://www.slickcharts.com/symbol/WMB" xr:uid="{CD8CE0C5-AA45-4808-BC3D-E0DC2A358C87}"/>
    <hyperlink ref="C63" r:id="rId124" display="https://www.slickcharts.com/symbol/WMB" xr:uid="{159541F8-3A9B-4C3F-8510-D5F4B9C46476}"/>
    <hyperlink ref="B64" r:id="rId125" display="https://www.slickcharts.com/symbol/ECL" xr:uid="{68CF1E09-4D17-4D3F-8F76-FED9D45F317C}"/>
    <hyperlink ref="C64" r:id="rId126" display="https://www.slickcharts.com/symbol/ECL" xr:uid="{1BCEFAFD-2C37-43E6-8069-0051550E1A87}"/>
    <hyperlink ref="B65" r:id="rId127" display="https://www.slickcharts.com/symbol/EOG" xr:uid="{C76682AF-6B35-4A6A-AA48-1EE503016D2F}"/>
    <hyperlink ref="C65" r:id="rId128" display="https://www.slickcharts.com/symbol/EOG" xr:uid="{C9B10821-9824-4206-BF59-A10E86EFDA4C}"/>
    <hyperlink ref="B66" r:id="rId129" display="https://www.slickcharts.com/symbol/APD" xr:uid="{79932238-82ED-4984-B2A5-2EF637B06FEC}"/>
    <hyperlink ref="C66" r:id="rId130" display="https://www.slickcharts.com/symbol/APD" xr:uid="{8263D25F-C0AF-4CCF-9355-465F480E2379}"/>
    <hyperlink ref="B67" r:id="rId131" display="https://www.slickcharts.com/symbol/AEP" xr:uid="{0EBEEC41-8429-4C2C-96FC-66195A40F321}"/>
    <hyperlink ref="C67" r:id="rId132" display="https://www.slickcharts.com/symbol/AEP" xr:uid="{C1DA08E6-D461-4E0C-A74E-6F6163F97F7D}"/>
    <hyperlink ref="B68" r:id="rId133" display="https://www.slickcharts.com/symbol/KMI" xr:uid="{4A243F5B-D3E6-4842-8DDD-46562F788747}"/>
    <hyperlink ref="C68" r:id="rId134" display="https://www.slickcharts.com/symbol/KMI" xr:uid="{7BC67B4F-9BAF-4B18-AE7B-BF69A2994673}"/>
    <hyperlink ref="B69" r:id="rId135" display="https://www.slickcharts.com/symbol/OKE" xr:uid="{DD007665-9003-48FD-B55D-647492AB7CB5}"/>
    <hyperlink ref="C69" r:id="rId136" display="https://www.slickcharts.com/symbol/OKE" xr:uid="{A813949B-1F7F-4D48-A2A1-309086E50817}"/>
    <hyperlink ref="B70" r:id="rId137" display="https://www.slickcharts.com/symbol/SLB" xr:uid="{31DACE64-D74E-4EB3-98D3-998E9F08C256}"/>
    <hyperlink ref="C70" r:id="rId138" display="https://www.slickcharts.com/symbol/SLB" xr:uid="{21C958E3-6F31-40D9-B507-4638B12B2317}"/>
    <hyperlink ref="B71" r:id="rId139" display="https://www.slickcharts.com/symbol/PCAR" xr:uid="{F2EC6663-70A1-4AFA-84F2-7AB88339B03D}"/>
    <hyperlink ref="C71" r:id="rId140" display="https://www.slickcharts.com/symbol/PCAR" xr:uid="{21B92D1E-BA2D-4154-9264-96B0D8786301}"/>
    <hyperlink ref="B72" r:id="rId141" display="https://www.slickcharts.com/symbol/KVUE" xr:uid="{9357824E-7811-4718-AD4F-E4AC83ED6610}"/>
    <hyperlink ref="C72" r:id="rId142" display="https://www.slickcharts.com/symbol/KVUE" xr:uid="{2D32BFDE-F29D-4222-B394-2AD2E8C77E5A}"/>
    <hyperlink ref="B73" r:id="rId143" display="https://www.slickcharts.com/symbol/MPC" xr:uid="{7F3811E6-CF2A-4817-A73B-15776DB3CF20}"/>
    <hyperlink ref="C73" r:id="rId144" display="https://www.slickcharts.com/symbol/MPC" xr:uid="{A36A64B7-7616-4772-A995-9F9E2E9A6AE2}"/>
    <hyperlink ref="B74" r:id="rId145" display="https://www.slickcharts.com/symbol/PSX" xr:uid="{79AF2014-86F5-4315-B649-4C604A8E4D37}"/>
    <hyperlink ref="C74" r:id="rId146" display="https://www.slickcharts.com/symbol/PSX" xr:uid="{ACF81A21-71F2-4BFB-8D05-C7EAC4A2A4D2}"/>
    <hyperlink ref="B75" r:id="rId147" display="https://www.slickcharts.com/symbol/CTVA" xr:uid="{F791E9AB-1F2B-4741-8236-A214BE186D56}"/>
    <hyperlink ref="C75" r:id="rId148" display="https://www.slickcharts.com/symbol/CTVA" xr:uid="{3870C74A-7EAB-4592-9F3D-DF2D06A7242E}"/>
    <hyperlink ref="B76" r:id="rId149" display="https://www.slickcharts.com/symbol/MNST" xr:uid="{3A419AE9-B642-40DC-8AF8-1BE624857F4E}"/>
    <hyperlink ref="C76" r:id="rId150" display="https://www.slickcharts.com/symbol/MNST" xr:uid="{49565B25-865A-410B-A4C6-1661936A2A4A}"/>
    <hyperlink ref="B77" r:id="rId151" display="https://www.slickcharts.com/symbol/F" xr:uid="{60CA3D9E-9CAB-4174-90F8-9819DE87CFEF}"/>
    <hyperlink ref="C77" r:id="rId152" display="https://www.slickcharts.com/symbol/F" xr:uid="{EE2DD937-4B40-424B-A919-864F2CE05336}"/>
    <hyperlink ref="B78" r:id="rId153" display="https://www.slickcharts.com/symbol/CHTR" xr:uid="{B03BAFD7-1608-4800-BC5A-2C2B3100CDC3}"/>
    <hyperlink ref="C78" r:id="rId154" display="https://www.slickcharts.com/symbol/CHTR" xr:uid="{226FF627-750D-439D-B20F-A47B50697CE7}"/>
    <hyperlink ref="B79" r:id="rId155" display="https://www.slickcharts.com/symbol/VLO" xr:uid="{6287EC0C-C64C-4B79-B793-23D1D17E2BB5}"/>
    <hyperlink ref="C79" r:id="rId156" display="https://www.slickcharts.com/symbol/VLO" xr:uid="{9293AEB8-3634-417C-8FED-454EA03E2716}"/>
    <hyperlink ref="B80" r:id="rId157" display="https://www.slickcharts.com/symbol/DD" xr:uid="{9435C314-2B57-4EDC-92AF-C16FC55E6DA0}"/>
    <hyperlink ref="C80" r:id="rId158" display="https://www.slickcharts.com/symbol/DD" xr:uid="{CC3975AC-D3C2-46D7-94C4-8ECB7EAD3E4D}"/>
    <hyperlink ref="B81" r:id="rId159" display="https://www.slickcharts.com/symbol/PPG" xr:uid="{9FD30954-7F08-43DE-89DB-C296489A7ED3}"/>
    <hyperlink ref="C81" r:id="rId160" display="https://www.slickcharts.com/symbol/PPG" xr:uid="{5B122607-726C-4BA5-B7A3-FA6FCA763357}"/>
    <hyperlink ref="B82" r:id="rId161" display="https://www.slickcharts.com/symbol/AMCR" xr:uid="{3E4D8639-32D2-41D1-9739-2668D2E6D81A}"/>
    <hyperlink ref="C82" r:id="rId162" display="https://www.slickcharts.com/symbol/AMCR" xr:uid="{1E5D9959-10D1-4DC3-9CD0-1DC7A3F33831}"/>
    <hyperlink ref="B83" r:id="rId163" display="https://www.slickcharts.com/symbol/WBD" xr:uid="{395B75B0-32A5-4EB6-8CB5-56B34AE7440D}"/>
    <hyperlink ref="C83" r:id="rId164" display="https://www.slickcharts.com/symbol/WBD" xr:uid="{74BD5C50-C1AF-405D-ABE1-07B31A4DFBD9}"/>
    <hyperlink ref="B84" r:id="rId165" display="https://www.slickcharts.com/symbol/APTV" xr:uid="{872CFC96-1621-4F44-8FE0-3110BB246AAF}"/>
    <hyperlink ref="C84" r:id="rId166" display="https://www.slickcharts.com/symbol/APTV" xr:uid="{A4E03C51-B503-44EB-95C9-38E608561F74}"/>
    <hyperlink ref="B85" r:id="rId167" display="https://www.slickcharts.com/symbol/FOXA" xr:uid="{D149386C-FF61-456C-A7D0-3AEA69D6A424}"/>
    <hyperlink ref="C85" r:id="rId168" display="https://www.slickcharts.com/symbol/FOXA" xr:uid="{29F350DA-9599-4AEF-A4DB-ACF0D79C4B76}"/>
    <hyperlink ref="B86" r:id="rId169" display="https://www.slickcharts.com/symbol/AOS" xr:uid="{21F5FF46-01A3-451B-BCBF-D5CD1AE0479C}"/>
    <hyperlink ref="C86" r:id="rId170" display="https://www.slickcharts.com/symbol/AOS" xr:uid="{FAD34142-DE41-4A98-8D18-3E7A35FB9BAB}"/>
    <hyperlink ref="B87" r:id="rId171" display="https://www.slickcharts.com/symbol/PARA" xr:uid="{3C96ECBA-76DB-4BAE-97A0-214205005CD4}"/>
    <hyperlink ref="C87" r:id="rId172" display="https://www.slickcharts.com/symbol/PARA" xr:uid="{F4C28FDC-8E60-4682-943D-BEBD4C9E3863}"/>
  </hyperlinks>
  <pageMargins left="0.7" right="0.7" top="0.75" bottom="0.75" header="0.3" footer="0.3"/>
  <pageSetup orientation="portrait" r:id="rId173"/>
  <drawing r:id="rId1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FF6C-7671-4FB1-BF5E-FB7B0E48A266}">
  <dimension ref="A1:L504"/>
  <sheetViews>
    <sheetView tabSelected="1" topLeftCell="A82" zoomScale="70" zoomScaleNormal="70" workbookViewId="0">
      <selection activeCell="N143" sqref="N143"/>
    </sheetView>
  </sheetViews>
  <sheetFormatPr defaultRowHeight="16" x14ac:dyDescent="0.4"/>
  <cols>
    <col min="1" max="1" width="4.26953125" style="2" bestFit="1" customWidth="1"/>
    <col min="2" max="2" width="25.1796875" style="2" customWidth="1"/>
    <col min="3" max="3" width="7.7265625" style="2" bestFit="1" customWidth="1"/>
    <col min="4" max="4" width="7.7265625" style="11" customWidth="1"/>
    <col min="5" max="5" width="9.81640625" style="2" customWidth="1"/>
    <col min="6" max="6" width="13.36328125" style="2" customWidth="1"/>
    <col min="7" max="7" width="7.453125" style="2" bestFit="1" customWidth="1"/>
    <col min="8" max="8" width="9.81640625" style="2" bestFit="1" customWidth="1"/>
    <col min="9" max="9" width="8.7265625" style="16"/>
    <col min="10" max="10" width="12.6328125" style="2" customWidth="1"/>
    <col min="11" max="16384" width="8.7265625" style="2"/>
  </cols>
  <sheetData>
    <row r="1" spans="1:12" ht="17" x14ac:dyDescent="0.45">
      <c r="A1" s="1" t="s">
        <v>0</v>
      </c>
      <c r="B1" s="1" t="s">
        <v>1</v>
      </c>
      <c r="C1" s="1" t="s">
        <v>2</v>
      </c>
      <c r="D1" s="8" t="s">
        <v>471</v>
      </c>
      <c r="E1" s="1" t="s">
        <v>512</v>
      </c>
      <c r="F1" s="2" t="s">
        <v>513</v>
      </c>
      <c r="G1" s="1" t="s">
        <v>3</v>
      </c>
      <c r="H1" s="1" t="s">
        <v>4</v>
      </c>
      <c r="I1" s="14" t="s">
        <v>501</v>
      </c>
      <c r="J1" s="12" t="s">
        <v>502</v>
      </c>
      <c r="K1" s="2" t="s">
        <v>514</v>
      </c>
      <c r="L1" s="2" t="s">
        <v>573</v>
      </c>
    </row>
    <row r="2" spans="1:12" ht="17" x14ac:dyDescent="0.4">
      <c r="A2" s="3">
        <v>24</v>
      </c>
      <c r="B2" s="4" t="s">
        <v>71</v>
      </c>
      <c r="C2" s="5" t="s">
        <v>72</v>
      </c>
      <c r="D2" s="10" t="s">
        <v>488</v>
      </c>
      <c r="E2" s="7">
        <v>1</v>
      </c>
      <c r="F2" s="2" t="str">
        <f>VLOOKUP(E2, I$2:J$13, 2,TRUE)</f>
        <v>NoDur</v>
      </c>
      <c r="G2" s="6">
        <v>5.7999999999999996E-3</v>
      </c>
      <c r="H2" s="7" t="s">
        <v>73</v>
      </c>
      <c r="I2" s="15">
        <v>1</v>
      </c>
      <c r="J2" s="32" t="s">
        <v>503</v>
      </c>
      <c r="K2" s="2">
        <f>COUNTIF(E:E, I2)</f>
        <v>14</v>
      </c>
      <c r="L2" s="2">
        <v>217</v>
      </c>
    </row>
    <row r="3" spans="1:12" ht="17" x14ac:dyDescent="0.4">
      <c r="A3" s="3">
        <v>26</v>
      </c>
      <c r="B3" s="4" t="s">
        <v>77</v>
      </c>
      <c r="C3" s="5" t="s">
        <v>78</v>
      </c>
      <c r="D3" s="10" t="s">
        <v>489</v>
      </c>
      <c r="E3" s="7">
        <v>1</v>
      </c>
      <c r="F3" s="2" t="str">
        <f>VLOOKUP(E3, I$2:J$13, 2,TRUE)</f>
        <v>NoDur</v>
      </c>
      <c r="G3" s="6">
        <v>5.5999999999999999E-3</v>
      </c>
      <c r="H3" s="7" t="s">
        <v>79</v>
      </c>
      <c r="I3" s="15">
        <v>2</v>
      </c>
      <c r="J3" s="13" t="s">
        <v>504</v>
      </c>
      <c r="K3" s="2">
        <f t="shared" ref="K3:K13" si="0">COUNTIF(E:E, I3)</f>
        <v>6</v>
      </c>
    </row>
    <row r="4" spans="1:12" ht="17" x14ac:dyDescent="0.4">
      <c r="A4" s="3">
        <v>43</v>
      </c>
      <c r="B4" s="4" t="s">
        <v>128</v>
      </c>
      <c r="C4" s="5" t="s">
        <v>129</v>
      </c>
      <c r="D4" s="10" t="s">
        <v>488</v>
      </c>
      <c r="E4" s="7">
        <v>1</v>
      </c>
      <c r="F4" s="2" t="str">
        <f t="shared" ref="F4:F67" si="1">VLOOKUP(E4, I$2:J$13, 2,TRUE)</f>
        <v>NoDur</v>
      </c>
      <c r="G4" s="6">
        <v>3.8999999999999998E-3</v>
      </c>
      <c r="H4" s="7" t="s">
        <v>130</v>
      </c>
      <c r="I4" s="15">
        <v>3</v>
      </c>
      <c r="J4" s="32" t="s">
        <v>505</v>
      </c>
      <c r="K4" s="2">
        <f t="shared" si="0"/>
        <v>15</v>
      </c>
      <c r="L4" s="2">
        <v>89</v>
      </c>
    </row>
    <row r="5" spans="1:12" ht="17" x14ac:dyDescent="0.4">
      <c r="A5" s="3">
        <v>93</v>
      </c>
      <c r="B5" s="4" t="s">
        <v>254</v>
      </c>
      <c r="C5" s="5" t="s">
        <v>255</v>
      </c>
      <c r="D5" s="10" t="s">
        <v>489</v>
      </c>
      <c r="E5" s="7">
        <v>1</v>
      </c>
      <c r="F5" s="2" t="str">
        <f t="shared" si="1"/>
        <v>NoDur</v>
      </c>
      <c r="G5" s="6">
        <v>2.0999999999999999E-3</v>
      </c>
      <c r="H5" s="7" t="s">
        <v>256</v>
      </c>
      <c r="I5" s="15">
        <v>4</v>
      </c>
      <c r="J5" s="32" t="s">
        <v>506</v>
      </c>
      <c r="K5" s="2">
        <f>COUNTIF(E:E, I5)</f>
        <v>12</v>
      </c>
      <c r="L5" s="2">
        <v>236</v>
      </c>
    </row>
    <row r="6" spans="1:12" ht="17" x14ac:dyDescent="0.4">
      <c r="A6" s="3">
        <v>112</v>
      </c>
      <c r="B6" s="4" t="s">
        <v>275</v>
      </c>
      <c r="C6" s="5" t="s">
        <v>276</v>
      </c>
      <c r="D6" s="10" t="s">
        <v>537</v>
      </c>
      <c r="E6" s="7">
        <v>1</v>
      </c>
      <c r="F6" s="2" t="str">
        <f t="shared" si="1"/>
        <v>NoDur</v>
      </c>
      <c r="G6" s="6">
        <v>1.8E-3</v>
      </c>
      <c r="H6" s="7" t="s">
        <v>277</v>
      </c>
      <c r="I6" s="15">
        <v>5</v>
      </c>
      <c r="J6" s="32" t="s">
        <v>557</v>
      </c>
      <c r="K6" s="2">
        <f t="shared" si="0"/>
        <v>14</v>
      </c>
      <c r="L6" s="2">
        <v>300</v>
      </c>
    </row>
    <row r="7" spans="1:12" ht="17" x14ac:dyDescent="0.4">
      <c r="A7" s="3">
        <v>130</v>
      </c>
      <c r="B7" s="4" t="s">
        <v>302</v>
      </c>
      <c r="C7" s="5" t="s">
        <v>303</v>
      </c>
      <c r="D7" s="10" t="s">
        <v>545</v>
      </c>
      <c r="E7" s="7">
        <v>1</v>
      </c>
      <c r="F7" s="2" t="str">
        <f t="shared" si="1"/>
        <v>NoDur</v>
      </c>
      <c r="G7" s="6">
        <v>1.5E-3</v>
      </c>
      <c r="H7" s="7" t="s">
        <v>304</v>
      </c>
      <c r="I7" s="15">
        <v>6</v>
      </c>
      <c r="J7" s="32" t="s">
        <v>470</v>
      </c>
      <c r="K7" s="2">
        <f>COUNTIF(E:E, I7)</f>
        <v>15</v>
      </c>
      <c r="L7" s="2">
        <v>32</v>
      </c>
    </row>
    <row r="8" spans="1:12" ht="17" x14ac:dyDescent="0.4">
      <c r="A8" s="3">
        <v>214</v>
      </c>
      <c r="B8" s="4" t="s">
        <v>380</v>
      </c>
      <c r="C8" s="5" t="s">
        <v>381</v>
      </c>
      <c r="D8" s="10" t="s">
        <v>558</v>
      </c>
      <c r="E8" s="7">
        <v>1</v>
      </c>
      <c r="F8" s="2" t="str">
        <f t="shared" si="1"/>
        <v>NoDur</v>
      </c>
      <c r="G8" s="6">
        <v>8.9999999999999998E-4</v>
      </c>
      <c r="H8" s="7" t="s">
        <v>382</v>
      </c>
      <c r="I8" s="15">
        <v>7</v>
      </c>
      <c r="J8" s="32" t="s">
        <v>507</v>
      </c>
      <c r="K8" s="2">
        <f>COUNTIF(E:E, I8)</f>
        <v>9</v>
      </c>
      <c r="L8" s="2">
        <v>491</v>
      </c>
    </row>
    <row r="9" spans="1:12" ht="17" x14ac:dyDescent="0.4">
      <c r="A9" s="17">
        <v>217</v>
      </c>
      <c r="B9" s="18" t="s">
        <v>383</v>
      </c>
      <c r="C9" s="19" t="s">
        <v>384</v>
      </c>
      <c r="D9" s="20" t="s">
        <v>559</v>
      </c>
      <c r="E9" s="21">
        <v>1</v>
      </c>
      <c r="F9" s="22" t="str">
        <f t="shared" si="1"/>
        <v>NoDur</v>
      </c>
      <c r="G9" s="23">
        <v>8.9999999999999998E-4</v>
      </c>
      <c r="H9" s="21" t="s">
        <v>385</v>
      </c>
      <c r="I9" s="15">
        <v>8</v>
      </c>
      <c r="J9" s="32" t="s">
        <v>508</v>
      </c>
      <c r="K9" s="2">
        <f t="shared" si="0"/>
        <v>12</v>
      </c>
      <c r="L9" s="2">
        <v>178</v>
      </c>
    </row>
    <row r="10" spans="1:12" ht="17" x14ac:dyDescent="0.4">
      <c r="A10" s="3">
        <v>222</v>
      </c>
      <c r="B10" s="4" t="s">
        <v>386</v>
      </c>
      <c r="C10" s="5" t="s">
        <v>387</v>
      </c>
      <c r="D10" s="10" t="s">
        <v>488</v>
      </c>
      <c r="E10" s="7">
        <v>1</v>
      </c>
      <c r="F10" s="2" t="str">
        <f t="shared" si="1"/>
        <v>NoDur</v>
      </c>
      <c r="G10" s="6">
        <v>8.9999999999999998E-4</v>
      </c>
      <c r="H10" s="7" t="s">
        <v>388</v>
      </c>
      <c r="I10" s="15">
        <v>9</v>
      </c>
      <c r="J10" s="32" t="s">
        <v>475</v>
      </c>
      <c r="K10" s="2">
        <f t="shared" si="0"/>
        <v>15</v>
      </c>
      <c r="L10" s="2">
        <v>104</v>
      </c>
    </row>
    <row r="11" spans="1:12" ht="17" x14ac:dyDescent="0.4">
      <c r="A11" s="3">
        <v>264</v>
      </c>
      <c r="B11" s="4" t="s">
        <v>401</v>
      </c>
      <c r="C11" s="5" t="s">
        <v>402</v>
      </c>
      <c r="D11" s="10" t="s">
        <v>560</v>
      </c>
      <c r="E11" s="7">
        <v>1</v>
      </c>
      <c r="F11" s="2" t="str">
        <f t="shared" si="1"/>
        <v>NoDur</v>
      </c>
      <c r="G11" s="6">
        <v>5.9999999999999995E-4</v>
      </c>
      <c r="H11" s="7" t="s">
        <v>403</v>
      </c>
      <c r="I11" s="15">
        <v>10</v>
      </c>
      <c r="J11" s="32" t="s">
        <v>509</v>
      </c>
      <c r="K11" s="2">
        <f t="shared" si="0"/>
        <v>14</v>
      </c>
      <c r="L11" s="2">
        <v>57</v>
      </c>
    </row>
    <row r="12" spans="1:12" ht="17" x14ac:dyDescent="0.4">
      <c r="A12" s="3">
        <v>267</v>
      </c>
      <c r="B12" s="4" t="s">
        <v>404</v>
      </c>
      <c r="C12" s="5" t="s">
        <v>405</v>
      </c>
      <c r="D12" s="10" t="s">
        <v>561</v>
      </c>
      <c r="E12" s="7">
        <v>1</v>
      </c>
      <c r="F12" s="2" t="str">
        <f t="shared" si="1"/>
        <v>NoDur</v>
      </c>
      <c r="G12" s="6">
        <v>5.9999999999999995E-4</v>
      </c>
      <c r="H12" s="7" t="s">
        <v>406</v>
      </c>
      <c r="I12" s="15">
        <v>11</v>
      </c>
      <c r="J12" s="32" t="s">
        <v>510</v>
      </c>
      <c r="K12" s="2">
        <f t="shared" si="0"/>
        <v>15</v>
      </c>
      <c r="L12" s="2">
        <v>60</v>
      </c>
    </row>
    <row r="13" spans="1:12" ht="17" x14ac:dyDescent="0.4">
      <c r="A13" s="3">
        <v>272</v>
      </c>
      <c r="B13" s="4" t="s">
        <v>410</v>
      </c>
      <c r="C13" s="5" t="s">
        <v>411</v>
      </c>
      <c r="D13" s="10" t="s">
        <v>488</v>
      </c>
      <c r="E13" s="7">
        <v>1</v>
      </c>
      <c r="F13" s="2" t="str">
        <f t="shared" si="1"/>
        <v>NoDur</v>
      </c>
      <c r="G13" s="6">
        <v>5.9999999999999995E-4</v>
      </c>
      <c r="H13" s="7" t="s">
        <v>412</v>
      </c>
      <c r="I13" s="15">
        <v>12</v>
      </c>
      <c r="J13" s="13" t="s">
        <v>511</v>
      </c>
      <c r="K13" s="2">
        <f t="shared" si="0"/>
        <v>14</v>
      </c>
    </row>
    <row r="14" spans="1:12" x14ac:dyDescent="0.4">
      <c r="A14" s="3">
        <v>305</v>
      </c>
      <c r="B14" s="4" t="s">
        <v>425</v>
      </c>
      <c r="C14" s="5" t="s">
        <v>426</v>
      </c>
      <c r="D14" s="10" t="s">
        <v>564</v>
      </c>
      <c r="E14" s="7">
        <v>1</v>
      </c>
      <c r="F14" s="2" t="str">
        <f t="shared" si="1"/>
        <v>NoDur</v>
      </c>
      <c r="G14" s="6">
        <v>5.0000000000000001E-4</v>
      </c>
      <c r="H14" s="7" t="s">
        <v>427</v>
      </c>
    </row>
    <row r="15" spans="1:12" x14ac:dyDescent="0.4">
      <c r="A15" s="33">
        <v>306</v>
      </c>
      <c r="B15" s="34" t="s">
        <v>428</v>
      </c>
      <c r="C15" s="35" t="s">
        <v>429</v>
      </c>
      <c r="D15" s="36" t="s">
        <v>565</v>
      </c>
      <c r="E15" s="37">
        <v>1</v>
      </c>
      <c r="F15" s="38" t="str">
        <f t="shared" si="1"/>
        <v>NoDur</v>
      </c>
      <c r="G15" s="39">
        <v>5.0000000000000001E-4</v>
      </c>
      <c r="H15" s="37" t="s">
        <v>430</v>
      </c>
    </row>
    <row r="16" spans="1:12" x14ac:dyDescent="0.4">
      <c r="A16" s="3">
        <v>9</v>
      </c>
      <c r="B16" s="4" t="s">
        <v>29</v>
      </c>
      <c r="C16" s="5" t="s">
        <v>30</v>
      </c>
      <c r="D16" s="10" t="s">
        <v>478</v>
      </c>
      <c r="E16" s="7">
        <v>2</v>
      </c>
      <c r="F16" s="2" t="str">
        <f t="shared" si="1"/>
        <v>Durbl</v>
      </c>
      <c r="G16" s="6">
        <v>1.6500000000000001E-2</v>
      </c>
      <c r="H16" s="7" t="s">
        <v>31</v>
      </c>
    </row>
    <row r="17" spans="1:8" x14ac:dyDescent="0.4">
      <c r="A17" s="3">
        <v>191</v>
      </c>
      <c r="B17" s="4" t="s">
        <v>356</v>
      </c>
      <c r="C17" s="5" t="s">
        <v>357</v>
      </c>
      <c r="D17" s="10" t="s">
        <v>478</v>
      </c>
      <c r="E17" s="7">
        <v>2</v>
      </c>
      <c r="F17" s="2" t="str">
        <f t="shared" si="1"/>
        <v>Durbl</v>
      </c>
      <c r="G17" s="6">
        <v>1E-3</v>
      </c>
      <c r="H17" s="7" t="s">
        <v>358</v>
      </c>
    </row>
    <row r="18" spans="1:8" x14ac:dyDescent="0.4">
      <c r="A18" s="3">
        <v>225</v>
      </c>
      <c r="B18" s="4" t="s">
        <v>389</v>
      </c>
      <c r="C18" s="5" t="s">
        <v>390</v>
      </c>
      <c r="D18" s="10" t="s">
        <v>478</v>
      </c>
      <c r="E18" s="7">
        <v>2</v>
      </c>
      <c r="F18" s="2" t="str">
        <f t="shared" si="1"/>
        <v>Durbl</v>
      </c>
      <c r="G18" s="6">
        <v>8.0000000000000004E-4</v>
      </c>
      <c r="H18" s="7" t="s">
        <v>391</v>
      </c>
    </row>
    <row r="19" spans="1:8" x14ac:dyDescent="0.4">
      <c r="A19" s="3">
        <v>341</v>
      </c>
      <c r="B19" s="4" t="s">
        <v>437</v>
      </c>
      <c r="C19" s="5" t="s">
        <v>438</v>
      </c>
      <c r="D19" s="10" t="s">
        <v>566</v>
      </c>
      <c r="E19" s="7">
        <v>2</v>
      </c>
      <c r="F19" s="2" t="str">
        <f t="shared" si="1"/>
        <v>Durbl</v>
      </c>
      <c r="G19" s="6">
        <v>4.0000000000000002E-4</v>
      </c>
      <c r="H19" s="7" t="s">
        <v>439</v>
      </c>
    </row>
    <row r="20" spans="1:8" x14ac:dyDescent="0.4">
      <c r="A20" s="3">
        <v>422</v>
      </c>
      <c r="B20" s="4" t="s">
        <v>449</v>
      </c>
      <c r="C20" s="5" t="s">
        <v>450</v>
      </c>
      <c r="D20" s="10" t="s">
        <v>570</v>
      </c>
      <c r="E20" s="7">
        <v>2</v>
      </c>
      <c r="F20" s="2" t="str">
        <f t="shared" si="1"/>
        <v>Durbl</v>
      </c>
      <c r="G20" s="6">
        <v>2.9999999999999997E-4</v>
      </c>
      <c r="H20" s="7" t="s">
        <v>451</v>
      </c>
    </row>
    <row r="21" spans="1:8" x14ac:dyDescent="0.4">
      <c r="A21" s="3">
        <v>478</v>
      </c>
      <c r="B21" s="4" t="s">
        <v>461</v>
      </c>
      <c r="C21" s="5" t="s">
        <v>462</v>
      </c>
      <c r="D21" s="10" t="s">
        <v>572</v>
      </c>
      <c r="E21" s="7">
        <v>2</v>
      </c>
      <c r="F21" s="2" t="str">
        <f t="shared" si="1"/>
        <v>Durbl</v>
      </c>
      <c r="G21" s="6">
        <v>2.0000000000000001E-4</v>
      </c>
      <c r="H21" s="7" t="s">
        <v>463</v>
      </c>
    </row>
    <row r="22" spans="1:8" x14ac:dyDescent="0.4">
      <c r="A22" s="40">
        <v>36</v>
      </c>
      <c r="B22" s="41" t="s">
        <v>107</v>
      </c>
      <c r="C22" s="42" t="s">
        <v>108</v>
      </c>
      <c r="D22" s="43" t="s">
        <v>493</v>
      </c>
      <c r="E22" s="44">
        <v>3</v>
      </c>
      <c r="F22" s="45" t="str">
        <f t="shared" si="1"/>
        <v>Manuf</v>
      </c>
      <c r="G22" s="46">
        <v>4.5999999999999999E-3</v>
      </c>
      <c r="H22" s="44" t="s">
        <v>109</v>
      </c>
    </row>
    <row r="23" spans="1:8" x14ac:dyDescent="0.4">
      <c r="A23" s="3">
        <v>47</v>
      </c>
      <c r="B23" s="4" t="s">
        <v>140</v>
      </c>
      <c r="C23" s="5" t="s">
        <v>141</v>
      </c>
      <c r="D23" s="10" t="s">
        <v>498</v>
      </c>
      <c r="E23" s="7">
        <v>3</v>
      </c>
      <c r="F23" s="2" t="str">
        <f t="shared" si="1"/>
        <v>Manuf</v>
      </c>
      <c r="G23" s="6">
        <v>3.5999999999999999E-3</v>
      </c>
      <c r="H23" s="7" t="s">
        <v>142</v>
      </c>
    </row>
    <row r="24" spans="1:8" x14ac:dyDescent="0.4">
      <c r="A24" s="3">
        <v>58</v>
      </c>
      <c r="B24" s="4" t="s">
        <v>170</v>
      </c>
      <c r="C24" s="5" t="s">
        <v>171</v>
      </c>
      <c r="D24" s="10" t="s">
        <v>519</v>
      </c>
      <c r="E24" s="7">
        <v>3</v>
      </c>
      <c r="F24" s="2" t="str">
        <f t="shared" si="1"/>
        <v>Manuf</v>
      </c>
      <c r="G24" s="6">
        <v>3.2000000000000002E-3</v>
      </c>
      <c r="H24" s="7" t="s">
        <v>172</v>
      </c>
    </row>
    <row r="25" spans="1:8" x14ac:dyDescent="0.4">
      <c r="A25" s="3">
        <v>65</v>
      </c>
      <c r="B25" s="4" t="s">
        <v>185</v>
      </c>
      <c r="C25" s="5" t="s">
        <v>186</v>
      </c>
      <c r="D25" s="10" t="s">
        <v>522</v>
      </c>
      <c r="E25" s="7">
        <v>3</v>
      </c>
      <c r="F25" s="2" t="str">
        <f t="shared" si="1"/>
        <v>Manuf</v>
      </c>
      <c r="G25" s="6">
        <v>2.8999999999999998E-3</v>
      </c>
      <c r="H25" s="7" t="s">
        <v>187</v>
      </c>
    </row>
    <row r="26" spans="1:8" x14ac:dyDescent="0.4">
      <c r="A26" s="3">
        <v>66</v>
      </c>
      <c r="B26" s="4" t="s">
        <v>188</v>
      </c>
      <c r="C26" s="5" t="s">
        <v>189</v>
      </c>
      <c r="D26" s="10" t="s">
        <v>498</v>
      </c>
      <c r="E26" s="7">
        <v>3</v>
      </c>
      <c r="F26" s="2" t="str">
        <f t="shared" si="1"/>
        <v>Manuf</v>
      </c>
      <c r="G26" s="6">
        <v>2.8999999999999998E-3</v>
      </c>
      <c r="H26" s="7" t="s">
        <v>190</v>
      </c>
    </row>
    <row r="27" spans="1:8" x14ac:dyDescent="0.4">
      <c r="A27" s="3">
        <v>79</v>
      </c>
      <c r="B27" s="4" t="s">
        <v>221</v>
      </c>
      <c r="C27" s="5" t="s">
        <v>222</v>
      </c>
      <c r="D27" s="10" t="s">
        <v>526</v>
      </c>
      <c r="E27" s="7">
        <v>3</v>
      </c>
      <c r="F27" s="2" t="str">
        <f t="shared" si="1"/>
        <v>Manuf</v>
      </c>
      <c r="G27" s="6">
        <v>2.5999999999999999E-3</v>
      </c>
      <c r="H27" s="7" t="s">
        <v>223</v>
      </c>
    </row>
    <row r="28" spans="1:8" x14ac:dyDescent="0.4">
      <c r="A28" s="3">
        <v>82</v>
      </c>
      <c r="B28" s="4" t="s">
        <v>224</v>
      </c>
      <c r="C28" s="5" t="s">
        <v>225</v>
      </c>
      <c r="D28" s="10" t="s">
        <v>527</v>
      </c>
      <c r="E28" s="7">
        <v>3</v>
      </c>
      <c r="F28" s="2" t="str">
        <f t="shared" si="1"/>
        <v>Manuf</v>
      </c>
      <c r="G28" s="6">
        <v>2.5000000000000001E-3</v>
      </c>
      <c r="H28" s="7" t="s">
        <v>226</v>
      </c>
    </row>
    <row r="29" spans="1:8" x14ac:dyDescent="0.4">
      <c r="A29" s="17">
        <v>89</v>
      </c>
      <c r="B29" s="18" t="s">
        <v>242</v>
      </c>
      <c r="C29" s="19" t="s">
        <v>243</v>
      </c>
      <c r="D29" s="20" t="s">
        <v>493</v>
      </c>
      <c r="E29" s="21">
        <v>3</v>
      </c>
      <c r="F29" s="22" t="str">
        <f t="shared" si="1"/>
        <v>Manuf</v>
      </c>
      <c r="G29" s="23">
        <v>2.2000000000000001E-3</v>
      </c>
      <c r="H29" s="21" t="s">
        <v>244</v>
      </c>
    </row>
    <row r="30" spans="1:8" x14ac:dyDescent="0.4">
      <c r="A30" s="3">
        <v>95</v>
      </c>
      <c r="B30" s="4" t="s">
        <v>260</v>
      </c>
      <c r="C30" s="5" t="s">
        <v>261</v>
      </c>
      <c r="D30" s="10" t="s">
        <v>532</v>
      </c>
      <c r="E30" s="7">
        <v>3</v>
      </c>
      <c r="F30" s="2" t="str">
        <f t="shared" si="1"/>
        <v>Manuf</v>
      </c>
      <c r="G30" s="6">
        <v>2.0999999999999999E-3</v>
      </c>
      <c r="H30" s="7" t="s">
        <v>262</v>
      </c>
    </row>
    <row r="31" spans="1:8" x14ac:dyDescent="0.4">
      <c r="A31" s="24">
        <v>105</v>
      </c>
      <c r="B31" s="25" t="s">
        <v>269</v>
      </c>
      <c r="C31" s="26" t="s">
        <v>270</v>
      </c>
      <c r="D31" s="27" t="s">
        <v>535</v>
      </c>
      <c r="E31" s="28">
        <v>3</v>
      </c>
      <c r="F31" s="29" t="str">
        <f t="shared" si="1"/>
        <v>Manuf</v>
      </c>
      <c r="G31" s="30">
        <v>1.9E-3</v>
      </c>
      <c r="H31" s="28" t="s">
        <v>271</v>
      </c>
    </row>
    <row r="32" spans="1:8" x14ac:dyDescent="0.4">
      <c r="A32" s="3">
        <v>122</v>
      </c>
      <c r="B32" s="4" t="s">
        <v>290</v>
      </c>
      <c r="C32" s="5" t="s">
        <v>291</v>
      </c>
      <c r="D32" s="10" t="s">
        <v>542</v>
      </c>
      <c r="E32" s="7">
        <v>3</v>
      </c>
      <c r="F32" s="2" t="str">
        <f>VLOOKUP(E32, I$2:J$13, 2,TRUE)</f>
        <v>Manuf</v>
      </c>
      <c r="G32" s="6">
        <v>1.6999999999999999E-3</v>
      </c>
      <c r="H32" s="7" t="s">
        <v>292</v>
      </c>
    </row>
    <row r="33" spans="1:8" x14ac:dyDescent="0.4">
      <c r="A33" s="3">
        <v>123</v>
      </c>
      <c r="B33" s="4" t="s">
        <v>293</v>
      </c>
      <c r="C33" s="5" t="s">
        <v>294</v>
      </c>
      <c r="D33" s="10" t="s">
        <v>543</v>
      </c>
      <c r="E33" s="7">
        <v>3</v>
      </c>
      <c r="F33" s="2" t="str">
        <f t="shared" si="1"/>
        <v>Manuf</v>
      </c>
      <c r="G33" s="6">
        <v>1.6999999999999999E-3</v>
      </c>
      <c r="H33" s="7" t="s">
        <v>295</v>
      </c>
    </row>
    <row r="34" spans="1:8" x14ac:dyDescent="0.4">
      <c r="A34" s="3">
        <v>136</v>
      </c>
      <c r="B34" s="4" t="s">
        <v>311</v>
      </c>
      <c r="C34" s="5" t="s">
        <v>312</v>
      </c>
      <c r="D34" s="10" t="s">
        <v>548</v>
      </c>
      <c r="E34" s="7">
        <v>3</v>
      </c>
      <c r="F34" s="2" t="str">
        <f t="shared" si="1"/>
        <v>Manuf</v>
      </c>
      <c r="G34" s="6">
        <v>1.4E-3</v>
      </c>
      <c r="H34" s="7" t="s">
        <v>313</v>
      </c>
    </row>
    <row r="35" spans="1:8" x14ac:dyDescent="0.4">
      <c r="A35" s="3">
        <v>139</v>
      </c>
      <c r="B35" s="4" t="s">
        <v>317</v>
      </c>
      <c r="C35" s="5" t="s">
        <v>318</v>
      </c>
      <c r="D35" s="10" t="s">
        <v>549</v>
      </c>
      <c r="E35" s="7">
        <v>3</v>
      </c>
      <c r="F35" s="2" t="str">
        <f t="shared" si="1"/>
        <v>Manuf</v>
      </c>
      <c r="G35" s="6">
        <v>1.4E-3</v>
      </c>
      <c r="H35" s="7" t="s">
        <v>319</v>
      </c>
    </row>
    <row r="36" spans="1:8" x14ac:dyDescent="0.4">
      <c r="A36" s="33">
        <v>144</v>
      </c>
      <c r="B36" s="34" t="s">
        <v>323</v>
      </c>
      <c r="C36" s="35" t="s">
        <v>324</v>
      </c>
      <c r="D36" s="36" t="s">
        <v>550</v>
      </c>
      <c r="E36" s="37">
        <v>3</v>
      </c>
      <c r="F36" s="38" t="str">
        <f t="shared" si="1"/>
        <v>Manuf</v>
      </c>
      <c r="G36" s="39">
        <v>1.2999999999999999E-3</v>
      </c>
      <c r="H36" s="37" t="s">
        <v>325</v>
      </c>
    </row>
    <row r="37" spans="1:8" x14ac:dyDescent="0.4">
      <c r="A37" s="3">
        <v>15</v>
      </c>
      <c r="B37" s="4" t="s">
        <v>44</v>
      </c>
      <c r="C37" s="5" t="s">
        <v>45</v>
      </c>
      <c r="D37" s="10" t="s">
        <v>483</v>
      </c>
      <c r="E37" s="7">
        <v>4</v>
      </c>
      <c r="F37" s="2" t="str">
        <f t="shared" si="1"/>
        <v>Enrgy</v>
      </c>
      <c r="G37" s="6">
        <v>9.7000000000000003E-3</v>
      </c>
      <c r="H37" s="7" t="s">
        <v>46</v>
      </c>
    </row>
    <row r="38" spans="1:8" x14ac:dyDescent="0.4">
      <c r="A38" s="3">
        <v>32</v>
      </c>
      <c r="B38" s="4" t="s">
        <v>95</v>
      </c>
      <c r="C38" s="5" t="s">
        <v>96</v>
      </c>
      <c r="D38" s="10" t="s">
        <v>483</v>
      </c>
      <c r="E38" s="7">
        <v>4</v>
      </c>
      <c r="F38" s="2" t="str">
        <f t="shared" si="1"/>
        <v>Enrgy</v>
      </c>
      <c r="G38" s="6">
        <v>4.7999999999999996E-3</v>
      </c>
      <c r="H38" s="7" t="s">
        <v>97</v>
      </c>
    </row>
    <row r="39" spans="1:8" x14ac:dyDescent="0.4">
      <c r="A39" s="3">
        <v>84</v>
      </c>
      <c r="B39" s="4" t="s">
        <v>230</v>
      </c>
      <c r="C39" s="5" t="s">
        <v>231</v>
      </c>
      <c r="D39" s="10" t="s">
        <v>483</v>
      </c>
      <c r="E39" s="7">
        <v>4</v>
      </c>
      <c r="F39" s="2" t="str">
        <f t="shared" si="1"/>
        <v>Enrgy</v>
      </c>
      <c r="G39" s="6">
        <v>2.3999999999999998E-3</v>
      </c>
      <c r="H39" s="7" t="s">
        <v>232</v>
      </c>
    </row>
    <row r="40" spans="1:8" x14ac:dyDescent="0.4">
      <c r="A40" s="3">
        <v>148</v>
      </c>
      <c r="B40" s="4" t="s">
        <v>329</v>
      </c>
      <c r="C40" s="5" t="s">
        <v>330</v>
      </c>
      <c r="D40" s="10" t="s">
        <v>551</v>
      </c>
      <c r="E40" s="7">
        <v>4</v>
      </c>
      <c r="F40" s="2" t="str">
        <f t="shared" si="1"/>
        <v>Enrgy</v>
      </c>
      <c r="G40" s="6">
        <v>1.2999999999999999E-3</v>
      </c>
      <c r="H40" s="7" t="s">
        <v>331</v>
      </c>
    </row>
    <row r="41" spans="1:8" x14ac:dyDescent="0.4">
      <c r="A41" s="3">
        <v>190</v>
      </c>
      <c r="B41" s="4" t="s">
        <v>353</v>
      </c>
      <c r="C41" s="5" t="s">
        <v>354</v>
      </c>
      <c r="D41" s="10" t="s">
        <v>555</v>
      </c>
      <c r="E41" s="7">
        <v>4</v>
      </c>
      <c r="F41" s="2" t="str">
        <f t="shared" si="1"/>
        <v>Enrgy</v>
      </c>
      <c r="G41" s="6">
        <v>1E-3</v>
      </c>
      <c r="H41" s="7" t="s">
        <v>355</v>
      </c>
    </row>
    <row r="42" spans="1:8" x14ac:dyDescent="0.4">
      <c r="A42" s="3">
        <v>211</v>
      </c>
      <c r="B42" s="4" t="s">
        <v>374</v>
      </c>
      <c r="C42" s="5" t="s">
        <v>375</v>
      </c>
      <c r="D42" s="10" t="s">
        <v>483</v>
      </c>
      <c r="E42" s="7">
        <v>4</v>
      </c>
      <c r="F42" s="2" t="str">
        <f t="shared" si="1"/>
        <v>Enrgy</v>
      </c>
      <c r="G42" s="6">
        <v>8.9999999999999998E-4</v>
      </c>
      <c r="H42" s="7" t="s">
        <v>376</v>
      </c>
    </row>
    <row r="43" spans="1:8" x14ac:dyDescent="0.4">
      <c r="A43" s="3">
        <v>213</v>
      </c>
      <c r="B43" s="4" t="s">
        <v>377</v>
      </c>
      <c r="C43" s="5" t="s">
        <v>378</v>
      </c>
      <c r="D43" s="10" t="s">
        <v>483</v>
      </c>
      <c r="E43" s="7">
        <v>4</v>
      </c>
      <c r="F43" s="2" t="str">
        <f t="shared" si="1"/>
        <v>Enrgy</v>
      </c>
      <c r="G43" s="6">
        <v>8.9999999999999998E-4</v>
      </c>
      <c r="H43" s="7" t="s">
        <v>379</v>
      </c>
    </row>
    <row r="44" spans="1:8" x14ac:dyDescent="0.4">
      <c r="A44" s="17">
        <v>236</v>
      </c>
      <c r="B44" s="18" t="s">
        <v>395</v>
      </c>
      <c r="C44" s="19" t="s">
        <v>396</v>
      </c>
      <c r="D44" s="20" t="s">
        <v>483</v>
      </c>
      <c r="E44" s="21">
        <v>4</v>
      </c>
      <c r="F44" s="22" t="str">
        <f t="shared" si="1"/>
        <v>Enrgy</v>
      </c>
      <c r="G44" s="23">
        <v>8.0000000000000004E-4</v>
      </c>
      <c r="H44" s="21" t="s">
        <v>397</v>
      </c>
    </row>
    <row r="45" spans="1:8" x14ac:dyDescent="0.4">
      <c r="A45" s="3">
        <v>238</v>
      </c>
      <c r="B45" s="4" t="s">
        <v>398</v>
      </c>
      <c r="C45" s="5" t="s">
        <v>399</v>
      </c>
      <c r="D45" s="10" t="s">
        <v>483</v>
      </c>
      <c r="E45" s="7">
        <v>4</v>
      </c>
      <c r="F45" s="2" t="str">
        <f t="shared" si="1"/>
        <v>Enrgy</v>
      </c>
      <c r="G45" s="6">
        <v>8.0000000000000004E-4</v>
      </c>
      <c r="H45" s="7" t="s">
        <v>400</v>
      </c>
    </row>
    <row r="46" spans="1:8" x14ac:dyDescent="0.4">
      <c r="A46" s="24">
        <v>268</v>
      </c>
      <c r="B46" s="25" t="s">
        <v>407</v>
      </c>
      <c r="C46" s="26" t="s">
        <v>408</v>
      </c>
      <c r="D46" s="27" t="s">
        <v>551</v>
      </c>
      <c r="E46" s="28">
        <v>4</v>
      </c>
      <c r="F46" s="29" t="str">
        <f t="shared" si="1"/>
        <v>Enrgy</v>
      </c>
      <c r="G46" s="30">
        <v>5.9999999999999995E-4</v>
      </c>
      <c r="H46" s="28" t="s">
        <v>409</v>
      </c>
    </row>
    <row r="47" spans="1:8" x14ac:dyDescent="0.4">
      <c r="A47" s="3">
        <v>286</v>
      </c>
      <c r="B47" s="4" t="s">
        <v>416</v>
      </c>
      <c r="C47" s="5" t="s">
        <v>417</v>
      </c>
      <c r="D47" s="10" t="s">
        <v>551</v>
      </c>
      <c r="E47" s="7">
        <v>4</v>
      </c>
      <c r="F47" s="2" t="str">
        <f t="shared" si="1"/>
        <v>Enrgy</v>
      </c>
      <c r="G47" s="6">
        <v>5.9999999999999995E-4</v>
      </c>
      <c r="H47" s="7" t="s">
        <v>418</v>
      </c>
    </row>
    <row r="48" spans="1:8" x14ac:dyDescent="0.4">
      <c r="A48" s="33">
        <v>302</v>
      </c>
      <c r="B48" s="34" t="s">
        <v>422</v>
      </c>
      <c r="C48" s="35" t="s">
        <v>423</v>
      </c>
      <c r="D48" s="36" t="s">
        <v>551</v>
      </c>
      <c r="E48" s="37">
        <v>4</v>
      </c>
      <c r="F48" s="38" t="str">
        <f t="shared" si="1"/>
        <v>Enrgy</v>
      </c>
      <c r="G48" s="39">
        <v>5.0000000000000001E-4</v>
      </c>
      <c r="H48" s="37" t="s">
        <v>424</v>
      </c>
    </row>
    <row r="49" spans="1:8" x14ac:dyDescent="0.4">
      <c r="A49" s="3">
        <v>19</v>
      </c>
      <c r="B49" s="4" t="s">
        <v>56</v>
      </c>
      <c r="C49" s="5" t="s">
        <v>57</v>
      </c>
      <c r="D49" s="10" t="s">
        <v>485</v>
      </c>
      <c r="E49" s="7">
        <v>5</v>
      </c>
      <c r="F49" s="2" t="str">
        <f t="shared" si="1"/>
        <v>Chems</v>
      </c>
      <c r="G49" s="6">
        <v>7.9000000000000008E-3</v>
      </c>
      <c r="H49" s="7" t="s">
        <v>58</v>
      </c>
    </row>
    <row r="50" spans="1:8" x14ac:dyDescent="0.4">
      <c r="A50" s="3">
        <v>37</v>
      </c>
      <c r="B50" s="4" t="s">
        <v>110</v>
      </c>
      <c r="C50" s="5" t="s">
        <v>111</v>
      </c>
      <c r="D50" s="10" t="s">
        <v>494</v>
      </c>
      <c r="E50" s="7">
        <v>5</v>
      </c>
      <c r="F50" s="2" t="str">
        <f t="shared" si="1"/>
        <v>Chems</v>
      </c>
      <c r="G50" s="6">
        <v>4.4999999999999997E-3</v>
      </c>
      <c r="H50" s="7" t="s">
        <v>112</v>
      </c>
    </row>
    <row r="51" spans="1:8" x14ac:dyDescent="0.4">
      <c r="A51" s="3">
        <v>128</v>
      </c>
      <c r="B51" s="4" t="s">
        <v>299</v>
      </c>
      <c r="C51" s="5" t="s">
        <v>300</v>
      </c>
      <c r="D51" s="10" t="s">
        <v>544</v>
      </c>
      <c r="E51" s="7">
        <v>5</v>
      </c>
      <c r="F51" s="2" t="str">
        <f t="shared" si="1"/>
        <v>Chems</v>
      </c>
      <c r="G51" s="6">
        <v>1.5E-3</v>
      </c>
      <c r="H51" s="7" t="s">
        <v>301</v>
      </c>
    </row>
    <row r="52" spans="1:8" x14ac:dyDescent="0.4">
      <c r="A52" s="3">
        <v>146</v>
      </c>
      <c r="B52" s="4" t="s">
        <v>326</v>
      </c>
      <c r="C52" s="5" t="s">
        <v>327</v>
      </c>
      <c r="D52" s="10" t="s">
        <v>485</v>
      </c>
      <c r="E52" s="7">
        <v>5</v>
      </c>
      <c r="F52" s="2" t="str">
        <f t="shared" si="1"/>
        <v>Chems</v>
      </c>
      <c r="G52" s="6">
        <v>1.2999999999999999E-3</v>
      </c>
      <c r="H52" s="7" t="s">
        <v>328</v>
      </c>
    </row>
    <row r="53" spans="1:8" x14ac:dyDescent="0.4">
      <c r="A53" s="3">
        <v>153</v>
      </c>
      <c r="B53" s="4" t="s">
        <v>335</v>
      </c>
      <c r="C53" s="5" t="s">
        <v>336</v>
      </c>
      <c r="D53" s="10" t="s">
        <v>494</v>
      </c>
      <c r="E53" s="7">
        <v>5</v>
      </c>
      <c r="F53" s="2" t="str">
        <f t="shared" si="1"/>
        <v>Chems</v>
      </c>
      <c r="G53" s="6">
        <v>1.2999999999999999E-3</v>
      </c>
      <c r="H53" s="7" t="s">
        <v>337</v>
      </c>
    </row>
    <row r="54" spans="1:8" x14ac:dyDescent="0.4">
      <c r="A54" s="3">
        <v>201</v>
      </c>
      <c r="B54" s="4" t="s">
        <v>371</v>
      </c>
      <c r="C54" s="5" t="s">
        <v>372</v>
      </c>
      <c r="D54" s="10" t="s">
        <v>544</v>
      </c>
      <c r="E54" s="7">
        <v>5</v>
      </c>
      <c r="F54" s="2" t="str">
        <f t="shared" si="1"/>
        <v>Chems</v>
      </c>
      <c r="G54" s="6">
        <v>1E-3</v>
      </c>
      <c r="H54" s="7" t="s">
        <v>373</v>
      </c>
    </row>
    <row r="55" spans="1:8" x14ac:dyDescent="0.4">
      <c r="A55" s="3">
        <v>284</v>
      </c>
      <c r="B55" s="4" t="s">
        <v>413</v>
      </c>
      <c r="C55" s="5" t="s">
        <v>414</v>
      </c>
      <c r="D55" s="10" t="s">
        <v>562</v>
      </c>
      <c r="E55" s="7">
        <v>5</v>
      </c>
      <c r="F55" s="2" t="str">
        <f t="shared" si="1"/>
        <v>Chems</v>
      </c>
      <c r="G55" s="6">
        <v>5.9999999999999995E-4</v>
      </c>
      <c r="H55" s="7" t="s">
        <v>415</v>
      </c>
    </row>
    <row r="56" spans="1:8" x14ac:dyDescent="0.4">
      <c r="A56" s="17">
        <v>300</v>
      </c>
      <c r="B56" s="18" t="s">
        <v>419</v>
      </c>
      <c r="C56" s="19" t="s">
        <v>420</v>
      </c>
      <c r="D56" s="20" t="s">
        <v>563</v>
      </c>
      <c r="E56" s="21">
        <v>5</v>
      </c>
      <c r="F56" s="22" t="str">
        <f t="shared" si="1"/>
        <v>Chems</v>
      </c>
      <c r="G56" s="23">
        <v>5.0000000000000001E-4</v>
      </c>
      <c r="H56" s="21" t="s">
        <v>421</v>
      </c>
    </row>
    <row r="57" spans="1:8" x14ac:dyDescent="0.4">
      <c r="A57" s="3">
        <v>323</v>
      </c>
      <c r="B57" s="4" t="s">
        <v>431</v>
      </c>
      <c r="C57" s="5" t="s">
        <v>432</v>
      </c>
      <c r="D57" s="10" t="s">
        <v>485</v>
      </c>
      <c r="E57" s="7">
        <v>5</v>
      </c>
      <c r="F57" s="2" t="str">
        <f t="shared" si="1"/>
        <v>Chems</v>
      </c>
      <c r="G57" s="6">
        <v>5.0000000000000001E-4</v>
      </c>
      <c r="H57" s="7" t="s">
        <v>433</v>
      </c>
    </row>
    <row r="58" spans="1:8" x14ac:dyDescent="0.4">
      <c r="A58" s="3">
        <v>337</v>
      </c>
      <c r="B58" s="4" t="s">
        <v>434</v>
      </c>
      <c r="C58" s="5" t="s">
        <v>435</v>
      </c>
      <c r="D58" s="10" t="s">
        <v>562</v>
      </c>
      <c r="E58" s="7">
        <v>5</v>
      </c>
      <c r="F58" s="2" t="str">
        <f t="shared" si="1"/>
        <v>Chems</v>
      </c>
      <c r="G58" s="6">
        <v>4.0000000000000002E-4</v>
      </c>
      <c r="H58" s="7" t="s">
        <v>436</v>
      </c>
    </row>
    <row r="59" spans="1:8" x14ac:dyDescent="0.4">
      <c r="A59" s="3">
        <v>351</v>
      </c>
      <c r="B59" s="4" t="s">
        <v>440</v>
      </c>
      <c r="C59" s="5" t="s">
        <v>441</v>
      </c>
      <c r="D59" s="10" t="s">
        <v>567</v>
      </c>
      <c r="E59" s="7">
        <v>5</v>
      </c>
      <c r="F59" s="2" t="str">
        <f t="shared" si="1"/>
        <v>Chems</v>
      </c>
      <c r="G59" s="6">
        <v>4.0000000000000002E-4</v>
      </c>
      <c r="H59" s="7" t="s">
        <v>442</v>
      </c>
    </row>
    <row r="60" spans="1:8" x14ac:dyDescent="0.4">
      <c r="A60" s="3">
        <v>381</v>
      </c>
      <c r="B60" s="4" t="s">
        <v>446</v>
      </c>
      <c r="C60" s="5" t="s">
        <v>447</v>
      </c>
      <c r="D60" s="10" t="s">
        <v>568</v>
      </c>
      <c r="E60" s="7">
        <v>5</v>
      </c>
      <c r="F60" s="2" t="str">
        <f t="shared" si="1"/>
        <v>Chems</v>
      </c>
      <c r="G60" s="6">
        <v>4.0000000000000002E-4</v>
      </c>
      <c r="H60" s="7" t="s">
        <v>448</v>
      </c>
    </row>
    <row r="61" spans="1:8" x14ac:dyDescent="0.4">
      <c r="A61" s="3">
        <v>463</v>
      </c>
      <c r="B61" s="4" t="s">
        <v>455</v>
      </c>
      <c r="C61" s="5" t="s">
        <v>456</v>
      </c>
      <c r="D61" s="10" t="s">
        <v>569</v>
      </c>
      <c r="E61" s="7">
        <v>5</v>
      </c>
      <c r="F61" s="2" t="str">
        <f>VLOOKUP(E61, I$2:J$13, 2,TRUE)</f>
        <v>Chems</v>
      </c>
      <c r="G61" s="6">
        <v>2.0000000000000001E-4</v>
      </c>
      <c r="H61" s="7" t="s">
        <v>457</v>
      </c>
    </row>
    <row r="62" spans="1:8" x14ac:dyDescent="0.4">
      <c r="A62" s="33">
        <v>473</v>
      </c>
      <c r="B62" s="34" t="s">
        <v>458</v>
      </c>
      <c r="C62" s="35" t="s">
        <v>459</v>
      </c>
      <c r="D62" s="36" t="s">
        <v>562</v>
      </c>
      <c r="E62" s="37">
        <v>5</v>
      </c>
      <c r="F62" s="38" t="str">
        <f t="shared" si="1"/>
        <v>Chems</v>
      </c>
      <c r="G62" s="39">
        <v>2.0000000000000001E-4</v>
      </c>
      <c r="H62" s="37" t="s">
        <v>460</v>
      </c>
    </row>
    <row r="63" spans="1:8" x14ac:dyDescent="0.4">
      <c r="A63" s="3">
        <v>1</v>
      </c>
      <c r="B63" s="4" t="s">
        <v>5</v>
      </c>
      <c r="C63" s="5" t="s">
        <v>6</v>
      </c>
      <c r="D63" s="9">
        <v>3571</v>
      </c>
      <c r="E63" s="7">
        <v>6</v>
      </c>
      <c r="F63" s="2" t="str">
        <f t="shared" si="1"/>
        <v>BusEq</v>
      </c>
      <c r="G63" s="6">
        <v>6.7400000000000002E-2</v>
      </c>
      <c r="H63" s="7" t="s">
        <v>7</v>
      </c>
    </row>
    <row r="64" spans="1:8" x14ac:dyDescent="0.4">
      <c r="A64" s="3">
        <v>2</v>
      </c>
      <c r="B64" s="4" t="s">
        <v>8</v>
      </c>
      <c r="C64" s="5" t="s">
        <v>9</v>
      </c>
      <c r="D64" s="10" t="s">
        <v>472</v>
      </c>
      <c r="E64" s="7">
        <v>6</v>
      </c>
      <c r="F64" s="2" t="str">
        <f t="shared" si="1"/>
        <v>BusEq</v>
      </c>
      <c r="G64" s="6">
        <v>6.6500000000000004E-2</v>
      </c>
      <c r="H64" s="7" t="s">
        <v>10</v>
      </c>
    </row>
    <row r="65" spans="1:9" s="29" customFormat="1" x14ac:dyDescent="0.4">
      <c r="A65" s="3">
        <v>3</v>
      </c>
      <c r="B65" s="4" t="s">
        <v>11</v>
      </c>
      <c r="C65" s="5" t="s">
        <v>12</v>
      </c>
      <c r="D65" s="10" t="s">
        <v>473</v>
      </c>
      <c r="E65" s="7">
        <v>6</v>
      </c>
      <c r="F65" s="2" t="str">
        <f t="shared" si="1"/>
        <v>BusEq</v>
      </c>
      <c r="G65" s="6">
        <v>5.7500000000000002E-2</v>
      </c>
      <c r="H65" s="7" t="s">
        <v>13</v>
      </c>
      <c r="I65" s="31"/>
    </row>
    <row r="66" spans="1:9" x14ac:dyDescent="0.4">
      <c r="A66" s="3">
        <v>5</v>
      </c>
      <c r="B66" s="4" t="s">
        <v>17</v>
      </c>
      <c r="C66" s="5" t="s">
        <v>18</v>
      </c>
      <c r="D66" s="10" t="s">
        <v>476</v>
      </c>
      <c r="E66" s="7">
        <v>6</v>
      </c>
      <c r="F66" s="2" t="str">
        <f t="shared" si="1"/>
        <v>BusEq</v>
      </c>
      <c r="G66" s="6">
        <v>2.64E-2</v>
      </c>
      <c r="H66" s="7" t="s">
        <v>19</v>
      </c>
    </row>
    <row r="67" spans="1:9" x14ac:dyDescent="0.4">
      <c r="A67" s="3">
        <v>7</v>
      </c>
      <c r="B67" s="4" t="s">
        <v>23</v>
      </c>
      <c r="C67" s="5" t="s">
        <v>24</v>
      </c>
      <c r="D67" s="10" t="s">
        <v>476</v>
      </c>
      <c r="E67" s="7">
        <v>6</v>
      </c>
      <c r="F67" s="2" t="str">
        <f t="shared" si="1"/>
        <v>BusEq</v>
      </c>
      <c r="G67" s="6">
        <v>1.9800000000000002E-2</v>
      </c>
      <c r="H67" s="7" t="s">
        <v>25</v>
      </c>
    </row>
    <row r="68" spans="1:9" x14ac:dyDescent="0.4">
      <c r="A68" s="3">
        <v>8</v>
      </c>
      <c r="B68" s="4" t="s">
        <v>26</v>
      </c>
      <c r="C68" s="5" t="s">
        <v>27</v>
      </c>
      <c r="D68" s="10" t="s">
        <v>473</v>
      </c>
      <c r="E68" s="7">
        <v>6</v>
      </c>
      <c r="F68" s="2" t="str">
        <f t="shared" ref="F68:F87" si="2">VLOOKUP(E68, I$2:J$13, 2,TRUE)</f>
        <v>BusEq</v>
      </c>
      <c r="G68" s="6">
        <v>1.95E-2</v>
      </c>
      <c r="H68" s="7" t="s">
        <v>28</v>
      </c>
    </row>
    <row r="69" spans="1:9" x14ac:dyDescent="0.4">
      <c r="A69" s="3">
        <v>27</v>
      </c>
      <c r="B69" s="4" t="s">
        <v>80</v>
      </c>
      <c r="C69" s="5" t="s">
        <v>81</v>
      </c>
      <c r="D69" s="10" t="s">
        <v>472</v>
      </c>
      <c r="E69" s="7">
        <v>6</v>
      </c>
      <c r="F69" s="2" t="str">
        <f t="shared" si="2"/>
        <v>BusEq</v>
      </c>
      <c r="G69" s="6">
        <v>5.4000000000000003E-3</v>
      </c>
      <c r="H69" s="7" t="s">
        <v>82</v>
      </c>
    </row>
    <row r="70" spans="1:9" x14ac:dyDescent="0.4">
      <c r="A70" s="17">
        <v>28</v>
      </c>
      <c r="B70" s="18" t="s">
        <v>83</v>
      </c>
      <c r="C70" s="19" t="s">
        <v>84</v>
      </c>
      <c r="D70" s="20" t="s">
        <v>472</v>
      </c>
      <c r="E70" s="21">
        <v>6</v>
      </c>
      <c r="F70" s="22" t="str">
        <f t="shared" si="2"/>
        <v>BusEq</v>
      </c>
      <c r="G70" s="23">
        <v>5.0000000000000001E-3</v>
      </c>
      <c r="H70" s="21" t="s">
        <v>85</v>
      </c>
    </row>
    <row r="71" spans="1:9" x14ac:dyDescent="0.4">
      <c r="A71" s="3">
        <v>30</v>
      </c>
      <c r="B71" s="4" t="s">
        <v>89</v>
      </c>
      <c r="C71" s="5" t="s">
        <v>90</v>
      </c>
      <c r="D71" s="10" t="s">
        <v>472</v>
      </c>
      <c r="E71" s="7">
        <v>6</v>
      </c>
      <c r="F71" s="2" t="str">
        <f t="shared" si="2"/>
        <v>BusEq</v>
      </c>
      <c r="G71" s="6">
        <v>5.0000000000000001E-3</v>
      </c>
      <c r="H71" s="7" t="s">
        <v>91</v>
      </c>
    </row>
    <row r="72" spans="1:9" x14ac:dyDescent="0.4">
      <c r="A72" s="24">
        <v>31</v>
      </c>
      <c r="B72" s="25" t="s">
        <v>92</v>
      </c>
      <c r="C72" s="26" t="s">
        <v>93</v>
      </c>
      <c r="D72" s="27" t="s">
        <v>490</v>
      </c>
      <c r="E72" s="28">
        <v>6</v>
      </c>
      <c r="F72" s="29" t="str">
        <f t="shared" si="2"/>
        <v>BusEq</v>
      </c>
      <c r="G72" s="30">
        <v>4.8999999999999998E-3</v>
      </c>
      <c r="H72" s="28" t="s">
        <v>94</v>
      </c>
      <c r="I72" s="31"/>
    </row>
    <row r="73" spans="1:9" x14ac:dyDescent="0.4">
      <c r="A73" s="3">
        <v>35</v>
      </c>
      <c r="B73" s="4" t="s">
        <v>104</v>
      </c>
      <c r="C73" s="5" t="s">
        <v>105</v>
      </c>
      <c r="D73" s="10" t="s">
        <v>492</v>
      </c>
      <c r="E73" s="7">
        <v>6</v>
      </c>
      <c r="F73" s="2" t="str">
        <f t="shared" si="2"/>
        <v>BusEq</v>
      </c>
      <c r="G73" s="6">
        <v>4.7000000000000002E-3</v>
      </c>
      <c r="H73" s="7" t="s">
        <v>106</v>
      </c>
    </row>
    <row r="74" spans="1:9" x14ac:dyDescent="0.4">
      <c r="A74" s="3">
        <v>40</v>
      </c>
      <c r="B74" s="4" t="s">
        <v>119</v>
      </c>
      <c r="C74" s="5" t="s">
        <v>120</v>
      </c>
      <c r="D74" s="10" t="s">
        <v>472</v>
      </c>
      <c r="E74" s="7">
        <v>6</v>
      </c>
      <c r="F74" s="2" t="str">
        <f t="shared" si="2"/>
        <v>BusEq</v>
      </c>
      <c r="G74" s="6">
        <v>4.1999999999999997E-3</v>
      </c>
      <c r="H74" s="7" t="s">
        <v>121</v>
      </c>
    </row>
    <row r="75" spans="1:9" x14ac:dyDescent="0.4">
      <c r="A75" s="3">
        <v>45</v>
      </c>
      <c r="B75" s="4" t="s">
        <v>134</v>
      </c>
      <c r="C75" s="5" t="s">
        <v>135</v>
      </c>
      <c r="D75" s="10" t="s">
        <v>472</v>
      </c>
      <c r="E75" s="7">
        <v>6</v>
      </c>
      <c r="F75" s="2" t="str">
        <f t="shared" si="2"/>
        <v>BusEq</v>
      </c>
      <c r="G75" s="6">
        <v>3.7000000000000002E-3</v>
      </c>
      <c r="H75" s="7" t="s">
        <v>136</v>
      </c>
    </row>
    <row r="76" spans="1:9" x14ac:dyDescent="0.4">
      <c r="A76" s="3">
        <v>51</v>
      </c>
      <c r="B76" s="4" t="s">
        <v>152</v>
      </c>
      <c r="C76" s="5" t="s">
        <v>153</v>
      </c>
      <c r="D76" s="10" t="s">
        <v>472</v>
      </c>
      <c r="E76" s="7">
        <v>6</v>
      </c>
      <c r="F76" s="2" t="str">
        <f t="shared" si="2"/>
        <v>BusEq</v>
      </c>
      <c r="G76" s="6">
        <v>3.3999999999999998E-3</v>
      </c>
      <c r="H76" s="7" t="s">
        <v>154</v>
      </c>
    </row>
    <row r="77" spans="1:9" x14ac:dyDescent="0.4">
      <c r="A77" s="33">
        <v>53</v>
      </c>
      <c r="B77" s="34" t="s">
        <v>158</v>
      </c>
      <c r="C77" s="35" t="s">
        <v>159</v>
      </c>
      <c r="D77" s="36" t="s">
        <v>515</v>
      </c>
      <c r="E77" s="37">
        <v>6</v>
      </c>
      <c r="F77" s="38" t="str">
        <f t="shared" si="2"/>
        <v>BusEq</v>
      </c>
      <c r="G77" s="39">
        <v>3.3999999999999998E-3</v>
      </c>
      <c r="H77" s="37" t="s">
        <v>160</v>
      </c>
    </row>
    <row r="78" spans="1:9" x14ac:dyDescent="0.4">
      <c r="A78" s="3">
        <v>39</v>
      </c>
      <c r="B78" s="4" t="s">
        <v>116</v>
      </c>
      <c r="C78" s="5" t="s">
        <v>117</v>
      </c>
      <c r="D78" s="10" t="s">
        <v>495</v>
      </c>
      <c r="E78" s="7">
        <v>7</v>
      </c>
      <c r="F78" s="2" t="str">
        <f t="shared" si="2"/>
        <v>Telcm</v>
      </c>
      <c r="G78" s="6">
        <v>4.1999999999999997E-3</v>
      </c>
      <c r="H78" s="7" t="s">
        <v>118</v>
      </c>
    </row>
    <row r="79" spans="1:9" x14ac:dyDescent="0.4">
      <c r="A79" s="3">
        <v>44</v>
      </c>
      <c r="B79" s="4" t="s">
        <v>131</v>
      </c>
      <c r="C79" s="5" t="s">
        <v>132</v>
      </c>
      <c r="D79" s="10" t="s">
        <v>495</v>
      </c>
      <c r="E79" s="7">
        <v>7</v>
      </c>
      <c r="F79" s="2" t="str">
        <f t="shared" si="2"/>
        <v>Telcm</v>
      </c>
      <c r="G79" s="6">
        <v>3.8E-3</v>
      </c>
      <c r="H79" s="7" t="s">
        <v>133</v>
      </c>
    </row>
    <row r="80" spans="1:9" x14ac:dyDescent="0.4">
      <c r="A80" s="3">
        <v>75</v>
      </c>
      <c r="B80" s="4" t="s">
        <v>215</v>
      </c>
      <c r="C80" s="5" t="s">
        <v>216</v>
      </c>
      <c r="D80" s="10" t="s">
        <v>525</v>
      </c>
      <c r="E80" s="7">
        <v>7</v>
      </c>
      <c r="F80" s="2" t="str">
        <f t="shared" si="2"/>
        <v>Telcm</v>
      </c>
      <c r="G80" s="6">
        <v>2.7000000000000001E-3</v>
      </c>
      <c r="H80" s="7" t="s">
        <v>217</v>
      </c>
    </row>
    <row r="81" spans="1:8" x14ac:dyDescent="0.4">
      <c r="A81" s="3">
        <v>83</v>
      </c>
      <c r="B81" s="4" t="s">
        <v>227</v>
      </c>
      <c r="C81" s="5" t="s">
        <v>228</v>
      </c>
      <c r="D81" s="10" t="s">
        <v>528</v>
      </c>
      <c r="E81" s="7">
        <v>7</v>
      </c>
      <c r="F81" s="2" t="str">
        <f t="shared" si="2"/>
        <v>Telcm</v>
      </c>
      <c r="G81" s="6">
        <v>2.5000000000000001E-3</v>
      </c>
      <c r="H81" s="7" t="s">
        <v>229</v>
      </c>
    </row>
    <row r="82" spans="1:8" x14ac:dyDescent="0.4">
      <c r="A82" s="3">
        <v>233</v>
      </c>
      <c r="B82" s="4" t="s">
        <v>392</v>
      </c>
      <c r="C82" s="5" t="s">
        <v>393</v>
      </c>
      <c r="D82" s="10" t="s">
        <v>525</v>
      </c>
      <c r="E82" s="7">
        <v>7</v>
      </c>
      <c r="F82" s="2" t="str">
        <f t="shared" si="2"/>
        <v>Telcm</v>
      </c>
      <c r="G82" s="6">
        <v>8.0000000000000004E-4</v>
      </c>
      <c r="H82" s="7" t="s">
        <v>394</v>
      </c>
    </row>
    <row r="83" spans="1:8" x14ac:dyDescent="0.4">
      <c r="A83" s="3">
        <v>363</v>
      </c>
      <c r="B83" s="4" t="s">
        <v>443</v>
      </c>
      <c r="C83" s="5" t="s">
        <v>444</v>
      </c>
      <c r="D83" s="10" t="s">
        <v>525</v>
      </c>
      <c r="E83" s="7">
        <v>7</v>
      </c>
      <c r="F83" s="2" t="str">
        <f t="shared" si="2"/>
        <v>Telcm</v>
      </c>
      <c r="G83" s="6">
        <v>4.0000000000000002E-4</v>
      </c>
      <c r="H83" s="7" t="s">
        <v>445</v>
      </c>
    </row>
    <row r="84" spans="1:8" x14ac:dyDescent="0.4">
      <c r="A84" s="3">
        <v>445</v>
      </c>
      <c r="B84" s="4" t="s">
        <v>452</v>
      </c>
      <c r="C84" s="5" t="s">
        <v>453</v>
      </c>
      <c r="D84" s="10" t="s">
        <v>571</v>
      </c>
      <c r="E84" s="7">
        <v>7</v>
      </c>
      <c r="F84" s="2" t="str">
        <f t="shared" si="2"/>
        <v>Telcm</v>
      </c>
      <c r="G84" s="6">
        <v>2.0000000000000001E-4</v>
      </c>
      <c r="H84" s="7" t="s">
        <v>454</v>
      </c>
    </row>
    <row r="85" spans="1:8" x14ac:dyDescent="0.4">
      <c r="A85" s="17">
        <v>491</v>
      </c>
      <c r="B85" s="18" t="s">
        <v>464</v>
      </c>
      <c r="C85" s="19" t="s">
        <v>465</v>
      </c>
      <c r="D85" s="20" t="s">
        <v>571</v>
      </c>
      <c r="E85" s="21">
        <v>7</v>
      </c>
      <c r="F85" s="22" t="str">
        <f t="shared" si="2"/>
        <v>Telcm</v>
      </c>
      <c r="G85" s="23">
        <v>1E-4</v>
      </c>
      <c r="H85" s="21" t="s">
        <v>466</v>
      </c>
    </row>
    <row r="86" spans="1:8" x14ac:dyDescent="0.4">
      <c r="A86" s="33">
        <v>496</v>
      </c>
      <c r="B86" s="34" t="s">
        <v>467</v>
      </c>
      <c r="C86" s="35" t="s">
        <v>468</v>
      </c>
      <c r="D86" s="36" t="s">
        <v>571</v>
      </c>
      <c r="E86" s="37">
        <v>7</v>
      </c>
      <c r="F86" s="38" t="str">
        <f t="shared" si="2"/>
        <v>Telcm</v>
      </c>
      <c r="G86" s="39">
        <v>1E-4</v>
      </c>
      <c r="H86" s="37" t="s">
        <v>469</v>
      </c>
    </row>
    <row r="87" spans="1:8" x14ac:dyDescent="0.4">
      <c r="A87" s="3">
        <v>67</v>
      </c>
      <c r="B87" s="4" t="s">
        <v>191</v>
      </c>
      <c r="C87" s="5" t="s">
        <v>192</v>
      </c>
      <c r="D87" s="10" t="s">
        <v>523</v>
      </c>
      <c r="E87" s="7">
        <v>8</v>
      </c>
      <c r="F87" s="2" t="str">
        <f t="shared" si="2"/>
        <v>Utils</v>
      </c>
      <c r="G87" s="6">
        <v>2.8999999999999998E-3</v>
      </c>
      <c r="H87" s="7" t="s">
        <v>193</v>
      </c>
    </row>
    <row r="88" spans="1:8" x14ac:dyDescent="0.4">
      <c r="A88" s="3">
        <v>94</v>
      </c>
      <c r="B88" s="4" t="s">
        <v>257</v>
      </c>
      <c r="C88" s="5" t="s">
        <v>258</v>
      </c>
      <c r="D88" s="10" t="s">
        <v>523</v>
      </c>
      <c r="E88" s="7">
        <v>8</v>
      </c>
      <c r="F88" s="2" t="str">
        <f>VLOOKUP(E88, I$2:J$13, 2,TRUE)</f>
        <v>Utils</v>
      </c>
      <c r="G88" s="6">
        <v>2.0999999999999999E-3</v>
      </c>
      <c r="H88" s="7" t="s">
        <v>259</v>
      </c>
    </row>
    <row r="89" spans="1:8" x14ac:dyDescent="0.4">
      <c r="A89" s="3">
        <v>103</v>
      </c>
      <c r="B89" s="4" t="s">
        <v>263</v>
      </c>
      <c r="C89" s="5" t="s">
        <v>264</v>
      </c>
      <c r="D89" s="10" t="s">
        <v>533</v>
      </c>
      <c r="E89" s="7">
        <v>8</v>
      </c>
      <c r="F89" s="2" t="str">
        <f t="shared" ref="F89:F107" si="3">VLOOKUP(E89, I$2:J$13, 2,TRUE)</f>
        <v>Utils</v>
      </c>
      <c r="G89" s="6">
        <v>2E-3</v>
      </c>
      <c r="H89" s="7" t="s">
        <v>265</v>
      </c>
    </row>
    <row r="90" spans="1:8" x14ac:dyDescent="0.4">
      <c r="A90" s="3">
        <v>126</v>
      </c>
      <c r="B90" s="4" t="s">
        <v>296</v>
      </c>
      <c r="C90" s="5" t="s">
        <v>297</v>
      </c>
      <c r="D90" s="10" t="s">
        <v>523</v>
      </c>
      <c r="E90" s="7">
        <v>8</v>
      </c>
      <c r="F90" s="2" t="str">
        <f t="shared" si="3"/>
        <v>Utils</v>
      </c>
      <c r="G90" s="6">
        <v>1.6000000000000001E-3</v>
      </c>
      <c r="H90" s="7" t="s">
        <v>298</v>
      </c>
    </row>
    <row r="91" spans="1:8" x14ac:dyDescent="0.4">
      <c r="A91" s="3">
        <v>131</v>
      </c>
      <c r="B91" s="4" t="s">
        <v>305</v>
      </c>
      <c r="C91" s="5" t="s">
        <v>306</v>
      </c>
      <c r="D91" s="10" t="s">
        <v>546</v>
      </c>
      <c r="E91" s="7">
        <v>8</v>
      </c>
      <c r="F91" s="2" t="str">
        <f t="shared" si="3"/>
        <v>Utils</v>
      </c>
      <c r="G91" s="6">
        <v>1.5E-3</v>
      </c>
      <c r="H91" s="7" t="s">
        <v>307</v>
      </c>
    </row>
    <row r="92" spans="1:8" x14ac:dyDescent="0.4">
      <c r="A92" s="3">
        <v>162</v>
      </c>
      <c r="B92" s="4" t="s">
        <v>338</v>
      </c>
      <c r="C92" s="5" t="s">
        <v>339</v>
      </c>
      <c r="D92" s="10" t="s">
        <v>523</v>
      </c>
      <c r="E92" s="7">
        <v>8</v>
      </c>
      <c r="F92" s="2" t="str">
        <f t="shared" si="3"/>
        <v>Utils</v>
      </c>
      <c r="G92" s="6">
        <v>1.1999999999999999E-3</v>
      </c>
      <c r="H92" s="7" t="s">
        <v>340</v>
      </c>
    </row>
    <row r="93" spans="1:8" x14ac:dyDescent="0.4">
      <c r="A93" s="3">
        <v>175</v>
      </c>
      <c r="B93" s="4" t="s">
        <v>344</v>
      </c>
      <c r="C93" s="5" t="s">
        <v>345</v>
      </c>
      <c r="D93" s="10" t="s">
        <v>546</v>
      </c>
      <c r="E93" s="7">
        <v>8</v>
      </c>
      <c r="F93" s="2" t="str">
        <f t="shared" si="3"/>
        <v>Utils</v>
      </c>
      <c r="G93" s="6">
        <v>1.1000000000000001E-3</v>
      </c>
      <c r="H93" s="7" t="s">
        <v>346</v>
      </c>
    </row>
    <row r="94" spans="1:8" x14ac:dyDescent="0.4">
      <c r="A94" s="17">
        <v>178</v>
      </c>
      <c r="B94" s="18" t="s">
        <v>347</v>
      </c>
      <c r="C94" s="19" t="s">
        <v>348</v>
      </c>
      <c r="D94" s="20" t="s">
        <v>553</v>
      </c>
      <c r="E94" s="21">
        <v>8</v>
      </c>
      <c r="F94" s="22" t="str">
        <f t="shared" si="3"/>
        <v>Utils</v>
      </c>
      <c r="G94" s="23">
        <v>1.1000000000000001E-3</v>
      </c>
      <c r="H94" s="21" t="s">
        <v>349</v>
      </c>
    </row>
    <row r="95" spans="1:8" x14ac:dyDescent="0.4">
      <c r="A95" s="3">
        <v>189</v>
      </c>
      <c r="B95" s="4" t="s">
        <v>350</v>
      </c>
      <c r="C95" s="5" t="s">
        <v>351</v>
      </c>
      <c r="D95" s="10" t="s">
        <v>554</v>
      </c>
      <c r="E95" s="7">
        <v>8</v>
      </c>
      <c r="F95" s="2" t="str">
        <f t="shared" si="3"/>
        <v>Utils</v>
      </c>
      <c r="G95" s="6">
        <v>1E-3</v>
      </c>
      <c r="H95" s="7" t="s">
        <v>352</v>
      </c>
    </row>
    <row r="96" spans="1:8" x14ac:dyDescent="0.4">
      <c r="A96" s="24">
        <v>193</v>
      </c>
      <c r="B96" s="25" t="s">
        <v>362</v>
      </c>
      <c r="C96" s="26" t="s">
        <v>363</v>
      </c>
      <c r="D96" s="27" t="s">
        <v>533</v>
      </c>
      <c r="E96" s="28">
        <v>8</v>
      </c>
      <c r="F96" s="29" t="str">
        <f t="shared" si="3"/>
        <v>Utils</v>
      </c>
      <c r="G96" s="30">
        <v>1E-3</v>
      </c>
      <c r="H96" s="28" t="s">
        <v>364</v>
      </c>
    </row>
    <row r="97" spans="1:8" x14ac:dyDescent="0.4">
      <c r="A97" s="3">
        <v>194</v>
      </c>
      <c r="B97" s="4" t="s">
        <v>365</v>
      </c>
      <c r="C97" s="5" t="s">
        <v>366</v>
      </c>
      <c r="D97" s="10" t="s">
        <v>523</v>
      </c>
      <c r="E97" s="7">
        <v>8</v>
      </c>
      <c r="F97" s="2" t="str">
        <f t="shared" si="3"/>
        <v>Utils</v>
      </c>
      <c r="G97" s="6">
        <v>1E-3</v>
      </c>
      <c r="H97" s="7" t="s">
        <v>367</v>
      </c>
    </row>
    <row r="98" spans="1:8" x14ac:dyDescent="0.4">
      <c r="A98" s="33">
        <v>200</v>
      </c>
      <c r="B98" s="34" t="s">
        <v>368</v>
      </c>
      <c r="C98" s="35" t="s">
        <v>369</v>
      </c>
      <c r="D98" s="36" t="s">
        <v>523</v>
      </c>
      <c r="E98" s="37">
        <v>8</v>
      </c>
      <c r="F98" s="38" t="str">
        <f t="shared" si="3"/>
        <v>Utils</v>
      </c>
      <c r="G98" s="39">
        <v>1E-3</v>
      </c>
      <c r="H98" s="37" t="s">
        <v>370</v>
      </c>
    </row>
    <row r="99" spans="1:8" x14ac:dyDescent="0.4">
      <c r="A99" s="3">
        <v>4</v>
      </c>
      <c r="B99" s="4" t="s">
        <v>14</v>
      </c>
      <c r="C99" s="5" t="s">
        <v>15</v>
      </c>
      <c r="D99" s="10" t="s">
        <v>474</v>
      </c>
      <c r="E99" s="7">
        <v>9</v>
      </c>
      <c r="F99" s="2" t="str">
        <f t="shared" si="3"/>
        <v>Shops</v>
      </c>
      <c r="G99" s="6">
        <v>3.7699999999999997E-2</v>
      </c>
      <c r="H99" s="7" t="s">
        <v>16</v>
      </c>
    </row>
    <row r="100" spans="1:8" x14ac:dyDescent="0.4">
      <c r="A100" s="3">
        <v>17</v>
      </c>
      <c r="B100" s="4" t="s">
        <v>50</v>
      </c>
      <c r="C100" s="5" t="s">
        <v>51</v>
      </c>
      <c r="D100" s="10" t="s">
        <v>484</v>
      </c>
      <c r="E100" s="7">
        <v>9</v>
      </c>
      <c r="F100" s="2" t="str">
        <f t="shared" si="3"/>
        <v>Shops</v>
      </c>
      <c r="G100" s="6">
        <v>9.2999999999999992E-3</v>
      </c>
      <c r="H100" s="7" t="s">
        <v>52</v>
      </c>
    </row>
    <row r="101" spans="1:8" x14ac:dyDescent="0.4">
      <c r="A101" s="3">
        <v>18</v>
      </c>
      <c r="B101" s="4" t="s">
        <v>53</v>
      </c>
      <c r="C101" s="5" t="s">
        <v>54</v>
      </c>
      <c r="D101" s="10" t="s">
        <v>484</v>
      </c>
      <c r="E101" s="7">
        <v>9</v>
      </c>
      <c r="F101" s="2" t="str">
        <f t="shared" si="3"/>
        <v>Shops</v>
      </c>
      <c r="G101" s="6">
        <v>8.8999999999999999E-3</v>
      </c>
      <c r="H101" s="7" t="s">
        <v>55</v>
      </c>
    </row>
    <row r="102" spans="1:8" x14ac:dyDescent="0.4">
      <c r="A102" s="3">
        <v>22</v>
      </c>
      <c r="B102" s="4" t="s">
        <v>65</v>
      </c>
      <c r="C102" s="5" t="s">
        <v>66</v>
      </c>
      <c r="D102" s="10" t="s">
        <v>487</v>
      </c>
      <c r="E102" s="7">
        <v>9</v>
      </c>
      <c r="F102" s="2" t="str">
        <f t="shared" si="3"/>
        <v>Shops</v>
      </c>
      <c r="G102" s="6">
        <v>7.4999999999999997E-3</v>
      </c>
      <c r="H102" s="7" t="s">
        <v>67</v>
      </c>
    </row>
    <row r="103" spans="1:8" x14ac:dyDescent="0.4">
      <c r="A103" s="3">
        <v>34</v>
      </c>
      <c r="B103" s="4" t="s">
        <v>101</v>
      </c>
      <c r="C103" s="5" t="s">
        <v>102</v>
      </c>
      <c r="D103" s="10" t="s">
        <v>491</v>
      </c>
      <c r="E103" s="7">
        <v>9</v>
      </c>
      <c r="F103" s="2" t="str">
        <f t="shared" si="3"/>
        <v>Shops</v>
      </c>
      <c r="G103" s="6">
        <v>4.7000000000000002E-3</v>
      </c>
      <c r="H103" s="7" t="s">
        <v>103</v>
      </c>
    </row>
    <row r="104" spans="1:8" x14ac:dyDescent="0.4">
      <c r="A104" s="3">
        <v>63</v>
      </c>
      <c r="B104" s="4" t="s">
        <v>179</v>
      </c>
      <c r="C104" s="5" t="s">
        <v>180</v>
      </c>
      <c r="D104" s="10" t="s">
        <v>521</v>
      </c>
      <c r="E104" s="7">
        <v>9</v>
      </c>
      <c r="F104" s="2" t="str">
        <f t="shared" si="3"/>
        <v>Shops</v>
      </c>
      <c r="G104" s="6">
        <v>3.0000000000000001E-3</v>
      </c>
      <c r="H104" s="7" t="s">
        <v>181</v>
      </c>
    </row>
    <row r="105" spans="1:8" x14ac:dyDescent="0.4">
      <c r="A105" s="3">
        <v>77</v>
      </c>
      <c r="B105" s="4" t="s">
        <v>218</v>
      </c>
      <c r="C105" s="5" t="s">
        <v>219</v>
      </c>
      <c r="D105" s="10" t="s">
        <v>487</v>
      </c>
      <c r="E105" s="7">
        <v>9</v>
      </c>
      <c r="F105" s="2" t="str">
        <f t="shared" si="3"/>
        <v>Shops</v>
      </c>
      <c r="G105" s="6">
        <v>2.5999999999999999E-3</v>
      </c>
      <c r="H105" s="7" t="s">
        <v>220</v>
      </c>
    </row>
    <row r="106" spans="1:8" x14ac:dyDescent="0.4">
      <c r="A106" s="17">
        <v>104</v>
      </c>
      <c r="B106" s="18" t="s">
        <v>266</v>
      </c>
      <c r="C106" s="19" t="s">
        <v>267</v>
      </c>
      <c r="D106" s="20" t="s">
        <v>534</v>
      </c>
      <c r="E106" s="21">
        <v>9</v>
      </c>
      <c r="F106" s="22" t="str">
        <f t="shared" si="3"/>
        <v>Shops</v>
      </c>
      <c r="G106" s="23">
        <v>2E-3</v>
      </c>
      <c r="H106" s="21" t="s">
        <v>268</v>
      </c>
    </row>
    <row r="107" spans="1:8" x14ac:dyDescent="0.4">
      <c r="A107" s="3">
        <v>110</v>
      </c>
      <c r="B107" s="4" t="s">
        <v>272</v>
      </c>
      <c r="C107" s="5" t="s">
        <v>273</v>
      </c>
      <c r="D107" s="10" t="s">
        <v>536</v>
      </c>
      <c r="E107" s="7">
        <v>9</v>
      </c>
      <c r="F107" s="2" t="str">
        <f t="shared" si="3"/>
        <v>Shops</v>
      </c>
      <c r="G107" s="6">
        <v>1.9E-3</v>
      </c>
      <c r="H107" s="7" t="s">
        <v>274</v>
      </c>
    </row>
    <row r="108" spans="1:8" x14ac:dyDescent="0.4">
      <c r="A108" s="24">
        <v>113</v>
      </c>
      <c r="B108" s="25" t="s">
        <v>278</v>
      </c>
      <c r="C108" s="26" t="s">
        <v>279</v>
      </c>
      <c r="D108" s="27" t="s">
        <v>538</v>
      </c>
      <c r="E108" s="28">
        <v>9</v>
      </c>
      <c r="F108" s="29" t="str">
        <f>VLOOKUP(E108, I$2:J$13, 2,TRUE)</f>
        <v>Shops</v>
      </c>
      <c r="G108" s="30">
        <v>1.8E-3</v>
      </c>
      <c r="H108" s="28" t="s">
        <v>280</v>
      </c>
    </row>
    <row r="109" spans="1:8" x14ac:dyDescent="0.4">
      <c r="A109" s="24">
        <v>119</v>
      </c>
      <c r="B109" s="25" t="s">
        <v>284</v>
      </c>
      <c r="C109" s="26" t="s">
        <v>285</v>
      </c>
      <c r="D109" s="27" t="s">
        <v>540</v>
      </c>
      <c r="E109" s="28">
        <v>9</v>
      </c>
      <c r="F109" s="2" t="str">
        <f t="shared" ref="F109:F163" si="4">VLOOKUP(E109, I$2:J$13, 2,TRUE)</f>
        <v>Shops</v>
      </c>
      <c r="G109" s="30">
        <v>1.6999999999999999E-3</v>
      </c>
      <c r="H109" s="28" t="s">
        <v>286</v>
      </c>
    </row>
    <row r="110" spans="1:8" x14ac:dyDescent="0.4">
      <c r="A110" s="3">
        <v>120</v>
      </c>
      <c r="B110" s="4" t="s">
        <v>287</v>
      </c>
      <c r="C110" s="5" t="s">
        <v>288</v>
      </c>
      <c r="D110" s="10" t="s">
        <v>541</v>
      </c>
      <c r="E110" s="7">
        <v>9</v>
      </c>
      <c r="F110" s="2" t="str">
        <f t="shared" si="4"/>
        <v>Shops</v>
      </c>
      <c r="G110" s="6">
        <v>1.6999999999999999E-3</v>
      </c>
      <c r="H110" s="7" t="s">
        <v>289</v>
      </c>
    </row>
    <row r="111" spans="1:8" x14ac:dyDescent="0.4">
      <c r="A111" s="3">
        <v>138</v>
      </c>
      <c r="B111" s="4" t="s">
        <v>314</v>
      </c>
      <c r="C111" s="5" t="s">
        <v>315</v>
      </c>
      <c r="D111" s="10" t="s">
        <v>491</v>
      </c>
      <c r="E111" s="7">
        <v>9</v>
      </c>
      <c r="F111" s="2" t="str">
        <f t="shared" si="4"/>
        <v>Shops</v>
      </c>
      <c r="G111" s="6">
        <v>1.4E-3</v>
      </c>
      <c r="H111" s="7" t="s">
        <v>316</v>
      </c>
    </row>
    <row r="112" spans="1:8" x14ac:dyDescent="0.4">
      <c r="A112" s="3">
        <v>149</v>
      </c>
      <c r="B112" s="4" t="s">
        <v>332</v>
      </c>
      <c r="C112" s="5" t="s">
        <v>333</v>
      </c>
      <c r="D112" s="10" t="s">
        <v>541</v>
      </c>
      <c r="E112" s="7">
        <v>9</v>
      </c>
      <c r="F112" s="2" t="str">
        <f t="shared" si="4"/>
        <v>Shops</v>
      </c>
      <c r="G112" s="6">
        <v>1.2999999999999999E-3</v>
      </c>
      <c r="H112" s="7" t="s">
        <v>334</v>
      </c>
    </row>
    <row r="113" spans="1:9" x14ac:dyDescent="0.4">
      <c r="A113" s="33">
        <v>169</v>
      </c>
      <c r="B113" s="34" t="s">
        <v>341</v>
      </c>
      <c r="C113" s="35" t="s">
        <v>342</v>
      </c>
      <c r="D113" s="36" t="s">
        <v>552</v>
      </c>
      <c r="E113" s="37">
        <v>9</v>
      </c>
      <c r="F113" s="38" t="str">
        <f t="shared" si="4"/>
        <v>Shops</v>
      </c>
      <c r="G113" s="39">
        <v>1.1000000000000001E-3</v>
      </c>
      <c r="H113" s="37" t="s">
        <v>343</v>
      </c>
    </row>
    <row r="114" spans="1:9" x14ac:dyDescent="0.4">
      <c r="A114" s="3">
        <v>12</v>
      </c>
      <c r="B114" s="4" t="s">
        <v>35</v>
      </c>
      <c r="C114" s="5" t="s">
        <v>36</v>
      </c>
      <c r="D114" s="10" t="s">
        <v>480</v>
      </c>
      <c r="E114" s="7">
        <v>10</v>
      </c>
      <c r="F114" s="2" t="str">
        <f t="shared" si="4"/>
        <v>Hlth</v>
      </c>
      <c r="G114" s="6">
        <v>1.32E-2</v>
      </c>
      <c r="H114" s="7" t="s">
        <v>37</v>
      </c>
    </row>
    <row r="115" spans="1:9" x14ac:dyDescent="0.4">
      <c r="A115" s="3">
        <v>20</v>
      </c>
      <c r="B115" s="4" t="s">
        <v>59</v>
      </c>
      <c r="C115" s="5" t="s">
        <v>60</v>
      </c>
      <c r="D115" s="10" t="s">
        <v>480</v>
      </c>
      <c r="E115" s="7">
        <v>10</v>
      </c>
      <c r="F115" s="2" t="str">
        <f t="shared" si="4"/>
        <v>Hlth</v>
      </c>
      <c r="G115" s="6">
        <v>7.7999999999999996E-3</v>
      </c>
      <c r="H115" s="7" t="s">
        <v>61</v>
      </c>
    </row>
    <row r="116" spans="1:9" x14ac:dyDescent="0.4">
      <c r="A116" s="3">
        <v>23</v>
      </c>
      <c r="B116" s="4" t="s">
        <v>68</v>
      </c>
      <c r="C116" s="5" t="s">
        <v>69</v>
      </c>
      <c r="D116" s="10" t="s">
        <v>480</v>
      </c>
      <c r="E116" s="7">
        <v>10</v>
      </c>
      <c r="F116" s="2" t="str">
        <f t="shared" si="4"/>
        <v>Hlth</v>
      </c>
      <c r="G116" s="6">
        <v>7.1999999999999998E-3</v>
      </c>
      <c r="H116" s="7" t="s">
        <v>70</v>
      </c>
    </row>
    <row r="117" spans="1:9" x14ac:dyDescent="0.4">
      <c r="A117" s="3">
        <v>33</v>
      </c>
      <c r="B117" s="4" t="s">
        <v>98</v>
      </c>
      <c r="C117" s="5" t="s">
        <v>99</v>
      </c>
      <c r="D117" s="10" t="s">
        <v>480</v>
      </c>
      <c r="E117" s="7">
        <v>10</v>
      </c>
      <c r="F117" s="2" t="str">
        <f t="shared" si="4"/>
        <v>Hlth</v>
      </c>
      <c r="G117" s="6">
        <v>4.7999999999999996E-3</v>
      </c>
      <c r="H117" s="7" t="s">
        <v>100</v>
      </c>
    </row>
    <row r="118" spans="1:9" x14ac:dyDescent="0.4">
      <c r="A118" s="3">
        <v>38</v>
      </c>
      <c r="B118" s="4" t="s">
        <v>113</v>
      </c>
      <c r="C118" s="5" t="s">
        <v>114</v>
      </c>
      <c r="D118" s="10" t="s">
        <v>480</v>
      </c>
      <c r="E118" s="7">
        <v>10</v>
      </c>
      <c r="F118" s="2" t="str">
        <f t="shared" si="4"/>
        <v>Hlth</v>
      </c>
      <c r="G118" s="6">
        <v>4.4000000000000003E-3</v>
      </c>
      <c r="H118" s="7" t="s">
        <v>115</v>
      </c>
    </row>
    <row r="119" spans="1:9" x14ac:dyDescent="0.4">
      <c r="A119" s="3">
        <v>42</v>
      </c>
      <c r="B119" s="4" t="s">
        <v>125</v>
      </c>
      <c r="C119" s="5" t="s">
        <v>126</v>
      </c>
      <c r="D119" s="10" t="s">
        <v>496</v>
      </c>
      <c r="E119" s="7">
        <v>10</v>
      </c>
      <c r="F119" s="2" t="str">
        <f t="shared" si="4"/>
        <v>Hlth</v>
      </c>
      <c r="G119" s="6">
        <v>3.8999999999999998E-3</v>
      </c>
      <c r="H119" s="7" t="s">
        <v>127</v>
      </c>
    </row>
    <row r="120" spans="1:9" x14ac:dyDescent="0.4">
      <c r="A120" s="3">
        <v>56</v>
      </c>
      <c r="B120" s="4" t="s">
        <v>164</v>
      </c>
      <c r="C120" s="5" t="s">
        <v>165</v>
      </c>
      <c r="D120" s="10" t="s">
        <v>517</v>
      </c>
      <c r="E120" s="7">
        <v>10</v>
      </c>
      <c r="F120" s="2" t="str">
        <f t="shared" si="4"/>
        <v>Hlth</v>
      </c>
      <c r="G120" s="6">
        <v>3.2000000000000002E-3</v>
      </c>
      <c r="H120" s="7" t="s">
        <v>166</v>
      </c>
    </row>
    <row r="121" spans="1:9" x14ac:dyDescent="0.4">
      <c r="A121" s="17">
        <v>57</v>
      </c>
      <c r="B121" s="18" t="s">
        <v>167</v>
      </c>
      <c r="C121" s="19" t="s">
        <v>168</v>
      </c>
      <c r="D121" s="20" t="s">
        <v>518</v>
      </c>
      <c r="E121" s="21">
        <v>10</v>
      </c>
      <c r="F121" s="22" t="str">
        <f t="shared" si="4"/>
        <v>Hlth</v>
      </c>
      <c r="G121" s="23">
        <v>3.2000000000000002E-3</v>
      </c>
      <c r="H121" s="21" t="s">
        <v>169</v>
      </c>
    </row>
    <row r="122" spans="1:9" x14ac:dyDescent="0.4">
      <c r="A122" s="3">
        <v>68</v>
      </c>
      <c r="B122" s="4" t="s">
        <v>194</v>
      </c>
      <c r="C122" s="5" t="s">
        <v>195</v>
      </c>
      <c r="D122" s="10" t="s">
        <v>480</v>
      </c>
      <c r="E122" s="7">
        <v>10</v>
      </c>
      <c r="F122" s="2" t="str">
        <f t="shared" si="4"/>
        <v>Hlth</v>
      </c>
      <c r="G122" s="6">
        <v>2.8999999999999998E-3</v>
      </c>
      <c r="H122" s="7" t="s">
        <v>196</v>
      </c>
    </row>
    <row r="123" spans="1:9" x14ac:dyDescent="0.4">
      <c r="A123" s="24">
        <v>71</v>
      </c>
      <c r="B123" s="25" t="s">
        <v>203</v>
      </c>
      <c r="C123" s="26" t="s">
        <v>204</v>
      </c>
      <c r="D123" s="27" t="s">
        <v>517</v>
      </c>
      <c r="E123" s="28">
        <v>10</v>
      </c>
      <c r="F123" s="29" t="str">
        <f t="shared" si="4"/>
        <v>Hlth</v>
      </c>
      <c r="G123" s="30">
        <v>2.7000000000000001E-3</v>
      </c>
      <c r="H123" s="28" t="s">
        <v>205</v>
      </c>
    </row>
    <row r="124" spans="1:9" x14ac:dyDescent="0.4">
      <c r="A124" s="3">
        <v>72</v>
      </c>
      <c r="B124" s="4" t="s">
        <v>206</v>
      </c>
      <c r="C124" s="5" t="s">
        <v>207</v>
      </c>
      <c r="D124" s="10" t="s">
        <v>518</v>
      </c>
      <c r="E124" s="7">
        <v>10</v>
      </c>
      <c r="F124" s="2" t="str">
        <f t="shared" si="4"/>
        <v>Hlth</v>
      </c>
      <c r="G124" s="6">
        <v>2.7000000000000001E-3</v>
      </c>
      <c r="H124" s="7" t="s">
        <v>208</v>
      </c>
    </row>
    <row r="125" spans="1:9" x14ac:dyDescent="0.4">
      <c r="A125" s="3">
        <v>73</v>
      </c>
      <c r="B125" s="4" t="s">
        <v>209</v>
      </c>
      <c r="C125" s="5" t="s">
        <v>210</v>
      </c>
      <c r="D125" s="10" t="s">
        <v>480</v>
      </c>
      <c r="E125" s="7">
        <v>10</v>
      </c>
      <c r="F125" s="2" t="str">
        <f t="shared" si="4"/>
        <v>Hlth</v>
      </c>
      <c r="G125" s="6">
        <v>2.7000000000000001E-3</v>
      </c>
      <c r="H125" s="7" t="s">
        <v>211</v>
      </c>
    </row>
    <row r="126" spans="1:9" x14ac:dyDescent="0.4">
      <c r="A126" s="3">
        <v>86</v>
      </c>
      <c r="B126" s="4" t="s">
        <v>236</v>
      </c>
      <c r="C126" s="5" t="s">
        <v>237</v>
      </c>
      <c r="D126" s="10" t="s">
        <v>530</v>
      </c>
      <c r="E126" s="7">
        <v>10</v>
      </c>
      <c r="F126" s="2" t="str">
        <f t="shared" si="4"/>
        <v>Hlth</v>
      </c>
      <c r="G126" s="6">
        <v>2.3E-3</v>
      </c>
      <c r="H126" s="7" t="s">
        <v>238</v>
      </c>
    </row>
    <row r="127" spans="1:9" x14ac:dyDescent="0.4">
      <c r="A127" s="33">
        <v>92</v>
      </c>
      <c r="B127" s="34" t="s">
        <v>251</v>
      </c>
      <c r="C127" s="35" t="s">
        <v>252</v>
      </c>
      <c r="D127" s="36" t="s">
        <v>480</v>
      </c>
      <c r="E127" s="37">
        <v>10</v>
      </c>
      <c r="F127" s="38" t="str">
        <f t="shared" si="4"/>
        <v>Hlth</v>
      </c>
      <c r="G127" s="39">
        <v>2.0999999999999999E-3</v>
      </c>
      <c r="H127" s="37" t="s">
        <v>253</v>
      </c>
      <c r="I127" s="47"/>
    </row>
    <row r="128" spans="1:9" x14ac:dyDescent="0.4">
      <c r="A128" s="3">
        <v>6</v>
      </c>
      <c r="B128" s="4" t="s">
        <v>20</v>
      </c>
      <c r="C128" s="5" t="s">
        <v>21</v>
      </c>
      <c r="D128" s="10" t="s">
        <v>477</v>
      </c>
      <c r="E128" s="7">
        <v>11</v>
      </c>
      <c r="F128" s="2" t="str">
        <f t="shared" si="4"/>
        <v>Money</v>
      </c>
      <c r="G128" s="6">
        <v>2.0400000000000001E-2</v>
      </c>
      <c r="H128" s="7" t="s">
        <v>22</v>
      </c>
    </row>
    <row r="129" spans="1:8" x14ac:dyDescent="0.4">
      <c r="A129" s="3">
        <v>11</v>
      </c>
      <c r="B129" s="4" t="s">
        <v>32</v>
      </c>
      <c r="C129" s="5" t="s">
        <v>33</v>
      </c>
      <c r="D129" s="10" t="s">
        <v>479</v>
      </c>
      <c r="E129" s="7">
        <v>11</v>
      </c>
      <c r="F129" s="2" t="str">
        <f t="shared" si="4"/>
        <v>Money</v>
      </c>
      <c r="G129" s="6">
        <v>1.4500000000000001E-2</v>
      </c>
      <c r="H129" s="7" t="s">
        <v>34</v>
      </c>
    </row>
    <row r="130" spans="1:8" x14ac:dyDescent="0.4">
      <c r="A130" s="3">
        <v>21</v>
      </c>
      <c r="B130" s="4" t="s">
        <v>62</v>
      </c>
      <c r="C130" s="5" t="s">
        <v>63</v>
      </c>
      <c r="D130" s="10" t="s">
        <v>486</v>
      </c>
      <c r="E130" s="7">
        <v>11</v>
      </c>
      <c r="F130" s="2" t="str">
        <f t="shared" si="4"/>
        <v>Money</v>
      </c>
      <c r="G130" s="6">
        <v>7.7999999999999996E-3</v>
      </c>
      <c r="H130" s="7" t="s">
        <v>64</v>
      </c>
    </row>
    <row r="131" spans="1:8" x14ac:dyDescent="0.4">
      <c r="A131" s="3">
        <v>25</v>
      </c>
      <c r="B131" s="4" t="s">
        <v>74</v>
      </c>
      <c r="C131" s="5" t="s">
        <v>75</v>
      </c>
      <c r="D131" s="10" t="s">
        <v>479</v>
      </c>
      <c r="E131" s="7">
        <v>11</v>
      </c>
      <c r="F131" s="2" t="str">
        <f t="shared" si="4"/>
        <v>Money</v>
      </c>
      <c r="G131" s="6">
        <v>5.5999999999999999E-3</v>
      </c>
      <c r="H131" s="7" t="s">
        <v>76</v>
      </c>
    </row>
    <row r="132" spans="1:8" x14ac:dyDescent="0.4">
      <c r="A132" s="3">
        <v>29</v>
      </c>
      <c r="B132" s="4" t="s">
        <v>86</v>
      </c>
      <c r="C132" s="5" t="s">
        <v>87</v>
      </c>
      <c r="D132" s="10" t="s">
        <v>479</v>
      </c>
      <c r="E132" s="7">
        <v>11</v>
      </c>
      <c r="F132" s="2" t="str">
        <f t="shared" si="4"/>
        <v>Money</v>
      </c>
      <c r="G132" s="6">
        <v>5.0000000000000001E-3</v>
      </c>
      <c r="H132" s="7" t="s">
        <v>88</v>
      </c>
    </row>
    <row r="133" spans="1:8" x14ac:dyDescent="0.4">
      <c r="A133" s="3">
        <v>46</v>
      </c>
      <c r="B133" s="4" t="s">
        <v>137</v>
      </c>
      <c r="C133" s="5" t="s">
        <v>138</v>
      </c>
      <c r="D133" s="10" t="s">
        <v>497</v>
      </c>
      <c r="E133" s="7">
        <v>11</v>
      </c>
      <c r="F133" s="2" t="str">
        <f t="shared" si="4"/>
        <v>Money</v>
      </c>
      <c r="G133" s="6">
        <v>3.5999999999999999E-3</v>
      </c>
      <c r="H133" s="7" t="s">
        <v>139</v>
      </c>
    </row>
    <row r="134" spans="1:8" x14ac:dyDescent="0.4">
      <c r="A134" s="3">
        <v>52</v>
      </c>
      <c r="B134" s="4" t="s">
        <v>155</v>
      </c>
      <c r="C134" s="5" t="s">
        <v>156</v>
      </c>
      <c r="D134" s="10" t="s">
        <v>477</v>
      </c>
      <c r="E134" s="7">
        <v>11</v>
      </c>
      <c r="F134" s="2" t="str">
        <f t="shared" si="4"/>
        <v>Money</v>
      </c>
      <c r="G134" s="6">
        <v>3.3999999999999998E-3</v>
      </c>
      <c r="H134" s="7" t="s">
        <v>157</v>
      </c>
    </row>
    <row r="135" spans="1:8" x14ac:dyDescent="0.4">
      <c r="A135" s="17">
        <v>60</v>
      </c>
      <c r="B135" s="18" t="s">
        <v>173</v>
      </c>
      <c r="C135" s="19" t="s">
        <v>174</v>
      </c>
      <c r="D135" s="20" t="s">
        <v>520</v>
      </c>
      <c r="E135" s="21">
        <v>11</v>
      </c>
      <c r="F135" s="22" t="str">
        <f t="shared" si="4"/>
        <v>Money</v>
      </c>
      <c r="G135" s="23">
        <v>3.0999999999999999E-3</v>
      </c>
      <c r="H135" s="21" t="s">
        <v>175</v>
      </c>
    </row>
    <row r="136" spans="1:8" x14ac:dyDescent="0.4">
      <c r="A136" s="3">
        <v>61</v>
      </c>
      <c r="B136" s="4" t="s">
        <v>176</v>
      </c>
      <c r="C136" s="5" t="s">
        <v>177</v>
      </c>
      <c r="D136" s="10" t="s">
        <v>497</v>
      </c>
      <c r="E136" s="7">
        <v>11</v>
      </c>
      <c r="F136" s="2" t="str">
        <f t="shared" si="4"/>
        <v>Money</v>
      </c>
      <c r="G136" s="6">
        <v>3.0000000000000001E-3</v>
      </c>
      <c r="H136" s="7" t="s">
        <v>178</v>
      </c>
    </row>
    <row r="137" spans="1:8" x14ac:dyDescent="0.4">
      <c r="A137" s="24">
        <v>64</v>
      </c>
      <c r="B137" s="25" t="s">
        <v>182</v>
      </c>
      <c r="C137" s="26" t="s">
        <v>183</v>
      </c>
      <c r="D137" s="27" t="s">
        <v>497</v>
      </c>
      <c r="E137" s="28">
        <v>11</v>
      </c>
      <c r="F137" s="29" t="str">
        <f>VLOOKUP(E137, I$2:J$13, 2,TRUE)</f>
        <v>Money</v>
      </c>
      <c r="G137" s="30">
        <v>2.8999999999999998E-3</v>
      </c>
      <c r="H137" s="28" t="s">
        <v>184</v>
      </c>
    </row>
    <row r="138" spans="1:8" x14ac:dyDescent="0.4">
      <c r="A138" s="3">
        <v>69</v>
      </c>
      <c r="B138" s="4" t="s">
        <v>197</v>
      </c>
      <c r="C138" s="5" t="s">
        <v>198</v>
      </c>
      <c r="D138" s="10" t="s">
        <v>497</v>
      </c>
      <c r="E138" s="7">
        <v>11</v>
      </c>
      <c r="F138" s="2" t="str">
        <f t="shared" si="4"/>
        <v>Money</v>
      </c>
      <c r="G138" s="6">
        <v>2.8E-3</v>
      </c>
      <c r="H138" s="7" t="s">
        <v>199</v>
      </c>
    </row>
    <row r="139" spans="1:8" x14ac:dyDescent="0.4">
      <c r="A139" s="3">
        <v>74</v>
      </c>
      <c r="B139" s="4" t="s">
        <v>212</v>
      </c>
      <c r="C139" s="5" t="s">
        <v>213</v>
      </c>
      <c r="D139" s="10" t="s">
        <v>479</v>
      </c>
      <c r="E139" s="7">
        <v>11</v>
      </c>
      <c r="F139" s="2" t="str">
        <f t="shared" si="4"/>
        <v>Money</v>
      </c>
      <c r="G139" s="6">
        <v>2.7000000000000001E-3</v>
      </c>
      <c r="H139" s="7" t="s">
        <v>214</v>
      </c>
    </row>
    <row r="140" spans="1:8" x14ac:dyDescent="0.4">
      <c r="A140" s="3">
        <v>85</v>
      </c>
      <c r="B140" s="4" t="s">
        <v>233</v>
      </c>
      <c r="C140" s="5" t="s">
        <v>234</v>
      </c>
      <c r="D140" s="10" t="s">
        <v>529</v>
      </c>
      <c r="E140" s="7">
        <v>11</v>
      </c>
      <c r="F140" s="2" t="str">
        <f t="shared" si="4"/>
        <v>Money</v>
      </c>
      <c r="G140" s="6">
        <v>2.3E-3</v>
      </c>
      <c r="H140" s="7" t="s">
        <v>235</v>
      </c>
    </row>
    <row r="141" spans="1:8" x14ac:dyDescent="0.4">
      <c r="A141" s="3">
        <v>88</v>
      </c>
      <c r="B141" s="4" t="s">
        <v>239</v>
      </c>
      <c r="C141" s="5" t="s">
        <v>240</v>
      </c>
      <c r="D141" s="10" t="s">
        <v>477</v>
      </c>
      <c r="E141" s="7">
        <v>11</v>
      </c>
      <c r="F141" s="2" t="str">
        <f t="shared" si="4"/>
        <v>Money</v>
      </c>
      <c r="G141" s="6">
        <v>2.2000000000000001E-3</v>
      </c>
      <c r="H141" s="7" t="s">
        <v>241</v>
      </c>
    </row>
    <row r="142" spans="1:8" x14ac:dyDescent="0.4">
      <c r="A142" s="33">
        <v>90</v>
      </c>
      <c r="B142" s="34" t="s">
        <v>245</v>
      </c>
      <c r="C142" s="35" t="s">
        <v>246</v>
      </c>
      <c r="D142" s="36" t="s">
        <v>531</v>
      </c>
      <c r="E142" s="37">
        <v>11</v>
      </c>
      <c r="F142" s="38" t="str">
        <f t="shared" si="4"/>
        <v>Money</v>
      </c>
      <c r="G142" s="39">
        <v>2.2000000000000001E-3</v>
      </c>
      <c r="H142" s="37" t="s">
        <v>247</v>
      </c>
    </row>
    <row r="143" spans="1:8" x14ac:dyDescent="0.4">
      <c r="A143" s="3">
        <v>13</v>
      </c>
      <c r="B143" s="4" t="s">
        <v>38</v>
      </c>
      <c r="C143" s="5" t="s">
        <v>39</v>
      </c>
      <c r="D143" s="10" t="s">
        <v>481</v>
      </c>
      <c r="E143" s="7">
        <v>12</v>
      </c>
      <c r="F143" s="2" t="str">
        <f t="shared" si="4"/>
        <v>Other</v>
      </c>
      <c r="G143" s="6">
        <v>1.24E-2</v>
      </c>
      <c r="H143" s="7" t="s">
        <v>40</v>
      </c>
    </row>
    <row r="144" spans="1:8" x14ac:dyDescent="0.4">
      <c r="A144" s="3">
        <v>14</v>
      </c>
      <c r="B144" s="4" t="s">
        <v>41</v>
      </c>
      <c r="C144" s="5" t="s">
        <v>42</v>
      </c>
      <c r="D144" s="10" t="s">
        <v>482</v>
      </c>
      <c r="E144" s="7">
        <v>12</v>
      </c>
      <c r="F144" s="2" t="str">
        <f t="shared" si="4"/>
        <v>Other</v>
      </c>
      <c r="G144" s="6">
        <v>1.0200000000000001E-2</v>
      </c>
      <c r="H144" s="7" t="s">
        <v>43</v>
      </c>
    </row>
    <row r="145" spans="1:9" x14ac:dyDescent="0.4">
      <c r="A145" s="3">
        <v>16</v>
      </c>
      <c r="B145" s="4" t="s">
        <v>47</v>
      </c>
      <c r="C145" s="5" t="s">
        <v>48</v>
      </c>
      <c r="D145" s="10" t="s">
        <v>481</v>
      </c>
      <c r="E145" s="7">
        <v>12</v>
      </c>
      <c r="F145" s="2" t="str">
        <f t="shared" si="4"/>
        <v>Other</v>
      </c>
      <c r="G145" s="6">
        <v>9.4000000000000004E-3</v>
      </c>
      <c r="H145" s="7" t="s">
        <v>49</v>
      </c>
    </row>
    <row r="146" spans="1:9" x14ac:dyDescent="0.4">
      <c r="A146" s="3">
        <v>41</v>
      </c>
      <c r="B146" s="4" t="s">
        <v>122</v>
      </c>
      <c r="C146" s="5" t="s">
        <v>123</v>
      </c>
      <c r="D146" s="10" t="s">
        <v>481</v>
      </c>
      <c r="E146" s="7">
        <v>12</v>
      </c>
      <c r="F146" s="2" t="str">
        <f t="shared" si="4"/>
        <v>Other</v>
      </c>
      <c r="G146" s="6">
        <v>4.0000000000000001E-3</v>
      </c>
      <c r="H146" s="7" t="s">
        <v>124</v>
      </c>
    </row>
    <row r="147" spans="1:9" x14ac:dyDescent="0.4">
      <c r="A147" s="3">
        <v>48</v>
      </c>
      <c r="B147" s="4" t="s">
        <v>143</v>
      </c>
      <c r="C147" s="5" t="s">
        <v>144</v>
      </c>
      <c r="D147" s="10" t="s">
        <v>481</v>
      </c>
      <c r="E147" s="7">
        <v>12</v>
      </c>
      <c r="F147" s="2" t="str">
        <f t="shared" si="4"/>
        <v>Other</v>
      </c>
      <c r="G147" s="6">
        <v>3.5999999999999999E-3</v>
      </c>
      <c r="H147" s="7" t="s">
        <v>145</v>
      </c>
    </row>
    <row r="148" spans="1:9" x14ac:dyDescent="0.4">
      <c r="A148" s="3">
        <v>49</v>
      </c>
      <c r="B148" s="4" t="s">
        <v>146</v>
      </c>
      <c r="C148" s="5" t="s">
        <v>147</v>
      </c>
      <c r="D148" s="10" t="s">
        <v>499</v>
      </c>
      <c r="E148" s="7">
        <v>12</v>
      </c>
      <c r="F148" s="2" t="str">
        <f t="shared" si="4"/>
        <v>Other</v>
      </c>
      <c r="G148" s="6">
        <v>3.5999999999999999E-3</v>
      </c>
      <c r="H148" s="7" t="s">
        <v>148</v>
      </c>
    </row>
    <row r="149" spans="1:9" x14ac:dyDescent="0.4">
      <c r="A149" s="3">
        <v>50</v>
      </c>
      <c r="B149" s="4" t="s">
        <v>149</v>
      </c>
      <c r="C149" s="5" t="s">
        <v>150</v>
      </c>
      <c r="D149" s="10" t="s">
        <v>500</v>
      </c>
      <c r="E149" s="7">
        <v>12</v>
      </c>
      <c r="F149" s="2" t="str">
        <f t="shared" si="4"/>
        <v>Other</v>
      </c>
      <c r="G149" s="6">
        <v>3.5000000000000001E-3</v>
      </c>
      <c r="H149" s="7" t="s">
        <v>151</v>
      </c>
    </row>
    <row r="150" spans="1:9" x14ac:dyDescent="0.4">
      <c r="A150" s="3">
        <v>54</v>
      </c>
      <c r="B150" s="4" t="s">
        <v>161</v>
      </c>
      <c r="C150" s="5" t="s">
        <v>162</v>
      </c>
      <c r="D150" s="10" t="s">
        <v>516</v>
      </c>
      <c r="E150" s="7">
        <v>12</v>
      </c>
      <c r="F150" s="2" t="str">
        <f t="shared" si="4"/>
        <v>Other</v>
      </c>
      <c r="G150" s="6">
        <v>3.3E-3</v>
      </c>
      <c r="H150" s="7" t="s">
        <v>163</v>
      </c>
    </row>
    <row r="151" spans="1:9" x14ac:dyDescent="0.4">
      <c r="A151" s="3">
        <v>70</v>
      </c>
      <c r="B151" s="4" t="s">
        <v>200</v>
      </c>
      <c r="C151" s="5" t="s">
        <v>201</v>
      </c>
      <c r="D151" s="10" t="s">
        <v>524</v>
      </c>
      <c r="E151" s="7">
        <v>12</v>
      </c>
      <c r="F151" s="2" t="str">
        <f t="shared" si="4"/>
        <v>Other</v>
      </c>
      <c r="G151" s="6">
        <v>2.7000000000000001E-3</v>
      </c>
      <c r="H151" s="7" t="s">
        <v>202</v>
      </c>
    </row>
    <row r="152" spans="1:9" x14ac:dyDescent="0.4">
      <c r="A152" s="3">
        <v>91</v>
      </c>
      <c r="B152" s="4" t="s">
        <v>248</v>
      </c>
      <c r="C152" s="5" t="s">
        <v>249</v>
      </c>
      <c r="D152" s="10" t="s">
        <v>481</v>
      </c>
      <c r="E152" s="7">
        <v>12</v>
      </c>
      <c r="F152" s="2" t="str">
        <f t="shared" si="4"/>
        <v>Other</v>
      </c>
      <c r="G152" s="6">
        <v>2.2000000000000001E-3</v>
      </c>
      <c r="H152" s="7" t="s">
        <v>250</v>
      </c>
    </row>
    <row r="153" spans="1:9" x14ac:dyDescent="0.4">
      <c r="A153" s="3">
        <v>116</v>
      </c>
      <c r="B153" s="4" t="s">
        <v>281</v>
      </c>
      <c r="C153" s="5" t="s">
        <v>282</v>
      </c>
      <c r="D153" s="10" t="s">
        <v>539</v>
      </c>
      <c r="E153" s="7">
        <v>12</v>
      </c>
      <c r="F153" s="2" t="str">
        <f t="shared" si="4"/>
        <v>Other</v>
      </c>
      <c r="G153" s="6">
        <v>1.8E-3</v>
      </c>
      <c r="H153" s="7" t="s">
        <v>283</v>
      </c>
    </row>
    <row r="154" spans="1:9" x14ac:dyDescent="0.4">
      <c r="A154" s="3">
        <v>135</v>
      </c>
      <c r="B154" s="4" t="s">
        <v>308</v>
      </c>
      <c r="C154" s="5" t="s">
        <v>309</v>
      </c>
      <c r="D154" s="10" t="s">
        <v>547</v>
      </c>
      <c r="E154" s="7">
        <v>12</v>
      </c>
      <c r="F154" s="2" t="str">
        <f t="shared" si="4"/>
        <v>Other</v>
      </c>
      <c r="G154" s="6">
        <v>1.5E-3</v>
      </c>
      <c r="H154" s="7" t="s">
        <v>310</v>
      </c>
    </row>
    <row r="155" spans="1:9" x14ac:dyDescent="0.4">
      <c r="A155" s="3">
        <v>140</v>
      </c>
      <c r="B155" s="4" t="s">
        <v>320</v>
      </c>
      <c r="C155" s="5" t="s">
        <v>321</v>
      </c>
      <c r="D155" s="10" t="s">
        <v>481</v>
      </c>
      <c r="E155" s="7">
        <v>12</v>
      </c>
      <c r="F155" s="2" t="str">
        <f t="shared" si="4"/>
        <v>Other</v>
      </c>
      <c r="G155" s="6">
        <v>1.4E-3</v>
      </c>
      <c r="H155" s="7" t="s">
        <v>322</v>
      </c>
    </row>
    <row r="156" spans="1:9" x14ac:dyDescent="0.4">
      <c r="A156" s="3">
        <v>192</v>
      </c>
      <c r="B156" s="4" t="s">
        <v>359</v>
      </c>
      <c r="C156" s="5" t="s">
        <v>360</v>
      </c>
      <c r="D156" s="10" t="s">
        <v>556</v>
      </c>
      <c r="E156" s="7">
        <v>12</v>
      </c>
      <c r="F156" s="2" t="str">
        <f t="shared" si="4"/>
        <v>Other</v>
      </c>
      <c r="G156" s="6">
        <v>1E-3</v>
      </c>
      <c r="H156" s="7" t="s">
        <v>361</v>
      </c>
    </row>
    <row r="157" spans="1:9" x14ac:dyDescent="0.4">
      <c r="A157" s="16"/>
      <c r="D157" s="2"/>
      <c r="I157" s="2"/>
    </row>
    <row r="158" spans="1:9" x14ac:dyDescent="0.4">
      <c r="A158" s="16"/>
      <c r="D158" s="2"/>
      <c r="I158" s="2"/>
    </row>
    <row r="159" spans="1:9" x14ac:dyDescent="0.4">
      <c r="A159" s="16"/>
      <c r="D159" s="2"/>
      <c r="I159" s="2"/>
    </row>
    <row r="160" spans="1:9" x14ac:dyDescent="0.4">
      <c r="A160" s="16"/>
      <c r="D160" s="2"/>
      <c r="I160" s="2"/>
    </row>
    <row r="161" spans="1:9" x14ac:dyDescent="0.4">
      <c r="A161" s="16"/>
      <c r="D161" s="2"/>
      <c r="I161" s="2"/>
    </row>
    <row r="162" spans="1:9" x14ac:dyDescent="0.4">
      <c r="A162" s="16"/>
      <c r="D162" s="2"/>
      <c r="I162" s="2"/>
    </row>
    <row r="163" spans="1:9" x14ac:dyDescent="0.4">
      <c r="A163" s="16"/>
      <c r="D163" s="2"/>
      <c r="I163" s="2"/>
    </row>
    <row r="164" spans="1:9" x14ac:dyDescent="0.4">
      <c r="A164" s="16"/>
      <c r="D164" s="2"/>
      <c r="I164" s="2"/>
    </row>
    <row r="165" spans="1:9" x14ac:dyDescent="0.4">
      <c r="A165" s="16"/>
      <c r="D165" s="2"/>
      <c r="I165" s="2"/>
    </row>
    <row r="166" spans="1:9" x14ac:dyDescent="0.4">
      <c r="A166" s="16"/>
      <c r="D166" s="2"/>
      <c r="I166" s="2"/>
    </row>
    <row r="167" spans="1:9" x14ac:dyDescent="0.4">
      <c r="A167" s="16"/>
      <c r="D167" s="2"/>
      <c r="I167" s="2"/>
    </row>
    <row r="168" spans="1:9" x14ac:dyDescent="0.4">
      <c r="A168" s="16"/>
      <c r="D168" s="2"/>
      <c r="I168" s="2"/>
    </row>
    <row r="169" spans="1:9" x14ac:dyDescent="0.4">
      <c r="A169" s="16"/>
      <c r="D169" s="2"/>
      <c r="I169" s="2"/>
    </row>
    <row r="170" spans="1:9" x14ac:dyDescent="0.4">
      <c r="A170" s="16"/>
      <c r="D170" s="2"/>
      <c r="I170" s="2"/>
    </row>
    <row r="171" spans="1:9" x14ac:dyDescent="0.4">
      <c r="A171" s="16"/>
      <c r="D171" s="2"/>
      <c r="I171" s="2"/>
    </row>
    <row r="172" spans="1:9" x14ac:dyDescent="0.4">
      <c r="A172" s="16"/>
      <c r="D172" s="2"/>
      <c r="I172" s="2"/>
    </row>
    <row r="173" spans="1:9" x14ac:dyDescent="0.4">
      <c r="A173" s="16"/>
      <c r="D173" s="2"/>
      <c r="I173" s="2"/>
    </row>
    <row r="174" spans="1:9" x14ac:dyDescent="0.4">
      <c r="A174" s="16"/>
      <c r="D174" s="2"/>
      <c r="I174" s="2"/>
    </row>
    <row r="175" spans="1:9" x14ac:dyDescent="0.4">
      <c r="A175" s="16"/>
      <c r="D175" s="2"/>
      <c r="I175" s="2"/>
    </row>
    <row r="176" spans="1:9" x14ac:dyDescent="0.4">
      <c r="A176" s="16"/>
      <c r="D176" s="2"/>
      <c r="I176" s="2"/>
    </row>
    <row r="177" spans="1:9" x14ac:dyDescent="0.4">
      <c r="A177" s="16"/>
      <c r="D177" s="2"/>
      <c r="I177" s="2"/>
    </row>
    <row r="178" spans="1:9" x14ac:dyDescent="0.4">
      <c r="A178" s="16"/>
      <c r="D178" s="2"/>
      <c r="I178" s="2"/>
    </row>
    <row r="179" spans="1:9" x14ac:dyDescent="0.4">
      <c r="A179" s="16"/>
      <c r="D179" s="2"/>
      <c r="I179" s="2"/>
    </row>
    <row r="180" spans="1:9" x14ac:dyDescent="0.4">
      <c r="A180" s="16"/>
      <c r="D180" s="2"/>
      <c r="I180" s="2"/>
    </row>
    <row r="181" spans="1:9" x14ac:dyDescent="0.4">
      <c r="A181" s="16"/>
      <c r="D181" s="2"/>
      <c r="I181" s="2"/>
    </row>
    <row r="182" spans="1:9" x14ac:dyDescent="0.4">
      <c r="A182" s="16"/>
      <c r="D182" s="2"/>
      <c r="I182" s="2"/>
    </row>
    <row r="183" spans="1:9" x14ac:dyDescent="0.4">
      <c r="A183" s="16"/>
      <c r="D183" s="2"/>
      <c r="I183" s="2"/>
    </row>
    <row r="184" spans="1:9" x14ac:dyDescent="0.4">
      <c r="A184" s="16"/>
      <c r="D184" s="2"/>
      <c r="I184" s="2"/>
    </row>
    <row r="185" spans="1:9" x14ac:dyDescent="0.4">
      <c r="A185" s="16"/>
      <c r="D185" s="2"/>
      <c r="I185" s="2"/>
    </row>
    <row r="186" spans="1:9" x14ac:dyDescent="0.4">
      <c r="A186" s="16"/>
      <c r="D186" s="2"/>
      <c r="I186" s="2"/>
    </row>
    <row r="187" spans="1:9" x14ac:dyDescent="0.4">
      <c r="A187" s="16"/>
      <c r="D187" s="2"/>
      <c r="I187" s="2"/>
    </row>
    <row r="188" spans="1:9" x14ac:dyDescent="0.4">
      <c r="A188" s="16"/>
      <c r="D188" s="2"/>
      <c r="I188" s="2"/>
    </row>
    <row r="189" spans="1:9" x14ac:dyDescent="0.4">
      <c r="A189" s="16"/>
      <c r="D189" s="2"/>
      <c r="I189" s="2"/>
    </row>
    <row r="190" spans="1:9" x14ac:dyDescent="0.4">
      <c r="A190" s="16"/>
      <c r="D190" s="2"/>
      <c r="I190" s="2"/>
    </row>
    <row r="191" spans="1:9" x14ac:dyDescent="0.4">
      <c r="A191" s="16"/>
      <c r="D191" s="2"/>
      <c r="I191" s="2"/>
    </row>
    <row r="192" spans="1:9" x14ac:dyDescent="0.4">
      <c r="A192" s="16"/>
      <c r="D192" s="2"/>
      <c r="I192" s="2"/>
    </row>
    <row r="193" spans="1:9" x14ac:dyDescent="0.4">
      <c r="A193" s="16"/>
      <c r="D193" s="2"/>
      <c r="I193" s="2"/>
    </row>
    <row r="194" spans="1:9" x14ac:dyDescent="0.4">
      <c r="A194" s="16"/>
      <c r="D194" s="2"/>
      <c r="I194" s="2"/>
    </row>
    <row r="195" spans="1:9" x14ac:dyDescent="0.4">
      <c r="A195" s="16"/>
      <c r="D195" s="2"/>
      <c r="I195" s="2"/>
    </row>
    <row r="196" spans="1:9" x14ac:dyDescent="0.4">
      <c r="A196" s="16"/>
      <c r="D196" s="2"/>
      <c r="I196" s="2"/>
    </row>
    <row r="197" spans="1:9" x14ac:dyDescent="0.4">
      <c r="A197" s="16"/>
      <c r="D197" s="2"/>
      <c r="I197" s="2"/>
    </row>
    <row r="198" spans="1:9" x14ac:dyDescent="0.4">
      <c r="A198" s="16"/>
      <c r="D198" s="2"/>
      <c r="I198" s="2"/>
    </row>
    <row r="199" spans="1:9" x14ac:dyDescent="0.4">
      <c r="A199" s="16"/>
      <c r="D199" s="2"/>
      <c r="I199" s="2"/>
    </row>
    <row r="200" spans="1:9" x14ac:dyDescent="0.4">
      <c r="A200" s="16"/>
      <c r="D200" s="2"/>
      <c r="I200" s="2"/>
    </row>
    <row r="201" spans="1:9" x14ac:dyDescent="0.4">
      <c r="A201" s="16"/>
      <c r="D201" s="2"/>
      <c r="I201" s="2"/>
    </row>
    <row r="202" spans="1:9" x14ac:dyDescent="0.4">
      <c r="A202" s="16"/>
      <c r="D202" s="2"/>
      <c r="I202" s="2"/>
    </row>
    <row r="203" spans="1:9" x14ac:dyDescent="0.4">
      <c r="A203" s="16"/>
      <c r="D203" s="2"/>
      <c r="I203" s="2"/>
    </row>
    <row r="204" spans="1:9" x14ac:dyDescent="0.4">
      <c r="A204" s="16"/>
      <c r="D204" s="2"/>
      <c r="I204" s="2"/>
    </row>
    <row r="205" spans="1:9" x14ac:dyDescent="0.4">
      <c r="A205" s="16"/>
      <c r="D205" s="2"/>
      <c r="I205" s="2"/>
    </row>
    <row r="206" spans="1:9" x14ac:dyDescent="0.4">
      <c r="A206" s="16"/>
      <c r="D206" s="2"/>
      <c r="I206" s="2"/>
    </row>
    <row r="207" spans="1:9" x14ac:dyDescent="0.4">
      <c r="A207" s="16"/>
      <c r="D207" s="2"/>
      <c r="I207" s="2"/>
    </row>
    <row r="208" spans="1:9" x14ac:dyDescent="0.4">
      <c r="A208" s="16"/>
      <c r="D208" s="2"/>
      <c r="I208" s="2"/>
    </row>
    <row r="209" spans="1:9" x14ac:dyDescent="0.4">
      <c r="A209" s="16"/>
      <c r="D209" s="2"/>
      <c r="I209" s="2"/>
    </row>
    <row r="210" spans="1:9" x14ac:dyDescent="0.4">
      <c r="A210" s="16"/>
      <c r="D210" s="2"/>
      <c r="I210" s="2"/>
    </row>
    <row r="211" spans="1:9" x14ac:dyDescent="0.4">
      <c r="A211" s="16"/>
      <c r="D211" s="2"/>
      <c r="I211" s="2"/>
    </row>
    <row r="212" spans="1:9" x14ac:dyDescent="0.4">
      <c r="A212" s="16"/>
      <c r="D212" s="2"/>
      <c r="I212" s="2"/>
    </row>
    <row r="213" spans="1:9" x14ac:dyDescent="0.4">
      <c r="A213" s="16"/>
      <c r="D213" s="2"/>
      <c r="I213" s="2"/>
    </row>
    <row r="214" spans="1:9" x14ac:dyDescent="0.4">
      <c r="A214" s="16"/>
      <c r="D214" s="2"/>
      <c r="I214" s="2"/>
    </row>
    <row r="215" spans="1:9" x14ac:dyDescent="0.4">
      <c r="A215" s="16"/>
      <c r="D215" s="2"/>
      <c r="I215" s="2"/>
    </row>
    <row r="216" spans="1:9" x14ac:dyDescent="0.4">
      <c r="A216" s="16"/>
      <c r="D216" s="2"/>
      <c r="I216" s="2"/>
    </row>
    <row r="217" spans="1:9" x14ac:dyDescent="0.4">
      <c r="A217" s="16"/>
      <c r="D217" s="2"/>
      <c r="I217" s="2"/>
    </row>
    <row r="218" spans="1:9" x14ac:dyDescent="0.4">
      <c r="A218" s="16"/>
      <c r="D218" s="2"/>
      <c r="I218" s="2"/>
    </row>
    <row r="219" spans="1:9" x14ac:dyDescent="0.4">
      <c r="A219" s="16"/>
      <c r="D219" s="2"/>
      <c r="I219" s="2"/>
    </row>
    <row r="220" spans="1:9" x14ac:dyDescent="0.4">
      <c r="A220" s="16"/>
      <c r="D220" s="2"/>
      <c r="I220" s="2"/>
    </row>
    <row r="221" spans="1:9" x14ac:dyDescent="0.4">
      <c r="A221" s="16"/>
      <c r="D221" s="2"/>
      <c r="I221" s="2"/>
    </row>
    <row r="222" spans="1:9" x14ac:dyDescent="0.4">
      <c r="A222" s="16"/>
      <c r="D222" s="2"/>
      <c r="I222" s="2"/>
    </row>
    <row r="223" spans="1:9" x14ac:dyDescent="0.4">
      <c r="A223" s="16"/>
      <c r="D223" s="2"/>
      <c r="I223" s="2"/>
    </row>
    <row r="224" spans="1:9" x14ac:dyDescent="0.4">
      <c r="A224" s="16"/>
      <c r="D224" s="2"/>
      <c r="I224" s="2"/>
    </row>
    <row r="225" spans="1:9" x14ac:dyDescent="0.4">
      <c r="A225" s="16"/>
      <c r="D225" s="2"/>
      <c r="I225" s="2"/>
    </row>
    <row r="226" spans="1:9" x14ac:dyDescent="0.4">
      <c r="A226" s="16"/>
      <c r="D226" s="2"/>
      <c r="I226" s="2"/>
    </row>
    <row r="227" spans="1:9" x14ac:dyDescent="0.4">
      <c r="A227" s="16"/>
      <c r="D227" s="2"/>
      <c r="I227" s="2"/>
    </row>
    <row r="228" spans="1:9" x14ac:dyDescent="0.4">
      <c r="A228" s="16"/>
      <c r="D228" s="2"/>
      <c r="I228" s="2"/>
    </row>
    <row r="229" spans="1:9" x14ac:dyDescent="0.4">
      <c r="A229" s="16"/>
      <c r="D229" s="2"/>
      <c r="I229" s="2"/>
    </row>
    <row r="230" spans="1:9" x14ac:dyDescent="0.4">
      <c r="A230" s="16"/>
      <c r="D230" s="2"/>
      <c r="I230" s="2"/>
    </row>
    <row r="231" spans="1:9" x14ac:dyDescent="0.4">
      <c r="A231" s="16"/>
      <c r="D231" s="2"/>
      <c r="I231" s="2"/>
    </row>
    <row r="232" spans="1:9" x14ac:dyDescent="0.4">
      <c r="A232" s="16"/>
      <c r="D232" s="2"/>
      <c r="I232" s="2"/>
    </row>
    <row r="233" spans="1:9" x14ac:dyDescent="0.4">
      <c r="A233" s="16"/>
      <c r="D233" s="2"/>
      <c r="I233" s="2"/>
    </row>
    <row r="234" spans="1:9" x14ac:dyDescent="0.4">
      <c r="A234" s="16"/>
      <c r="D234" s="2"/>
      <c r="I234" s="2"/>
    </row>
    <row r="235" spans="1:9" x14ac:dyDescent="0.4">
      <c r="A235" s="16"/>
      <c r="D235" s="2"/>
      <c r="I235" s="2"/>
    </row>
    <row r="236" spans="1:9" x14ac:dyDescent="0.4">
      <c r="A236" s="16"/>
      <c r="D236" s="2"/>
      <c r="I236" s="2"/>
    </row>
    <row r="237" spans="1:9" x14ac:dyDescent="0.4">
      <c r="A237" s="16"/>
      <c r="D237" s="2"/>
      <c r="I237" s="2"/>
    </row>
    <row r="238" spans="1:9" x14ac:dyDescent="0.4">
      <c r="A238" s="16"/>
      <c r="D238" s="2"/>
      <c r="I238" s="2"/>
    </row>
    <row r="239" spans="1:9" x14ac:dyDescent="0.4">
      <c r="A239" s="16"/>
      <c r="D239" s="2"/>
      <c r="I239" s="2"/>
    </row>
    <row r="240" spans="1:9" x14ac:dyDescent="0.4">
      <c r="A240" s="16"/>
      <c r="D240" s="2"/>
      <c r="I240" s="2"/>
    </row>
    <row r="241" spans="1:9" x14ac:dyDescent="0.4">
      <c r="A241" s="16"/>
      <c r="D241" s="2"/>
      <c r="I241" s="2"/>
    </row>
    <row r="242" spans="1:9" x14ac:dyDescent="0.4">
      <c r="A242" s="16"/>
      <c r="D242" s="2"/>
      <c r="I242" s="2"/>
    </row>
    <row r="243" spans="1:9" x14ac:dyDescent="0.4">
      <c r="A243" s="16"/>
      <c r="D243" s="2"/>
      <c r="I243" s="2"/>
    </row>
    <row r="244" spans="1:9" x14ac:dyDescent="0.4">
      <c r="A244" s="16"/>
      <c r="D244" s="2"/>
      <c r="I244" s="2"/>
    </row>
    <row r="245" spans="1:9" x14ac:dyDescent="0.4">
      <c r="A245" s="16"/>
      <c r="D245" s="2"/>
      <c r="I245" s="2"/>
    </row>
    <row r="246" spans="1:9" x14ac:dyDescent="0.4">
      <c r="A246" s="16"/>
      <c r="D246" s="2"/>
      <c r="I246" s="2"/>
    </row>
    <row r="247" spans="1:9" x14ac:dyDescent="0.4">
      <c r="A247" s="16"/>
      <c r="D247" s="2"/>
      <c r="I247" s="2"/>
    </row>
    <row r="248" spans="1:9" x14ac:dyDescent="0.4">
      <c r="A248" s="16"/>
      <c r="D248" s="2"/>
      <c r="I248" s="2"/>
    </row>
    <row r="249" spans="1:9" x14ac:dyDescent="0.4">
      <c r="A249" s="16"/>
      <c r="D249" s="2"/>
      <c r="I249" s="2"/>
    </row>
    <row r="250" spans="1:9" x14ac:dyDescent="0.4">
      <c r="A250" s="16"/>
      <c r="D250" s="2"/>
      <c r="I250" s="2"/>
    </row>
    <row r="251" spans="1:9" x14ac:dyDescent="0.4">
      <c r="A251" s="16"/>
      <c r="D251" s="2"/>
      <c r="I251" s="2"/>
    </row>
    <row r="252" spans="1:9" x14ac:dyDescent="0.4">
      <c r="A252" s="16"/>
      <c r="D252" s="2"/>
      <c r="I252" s="2"/>
    </row>
    <row r="253" spans="1:9" x14ac:dyDescent="0.4">
      <c r="A253" s="16"/>
      <c r="D253" s="2"/>
      <c r="I253" s="2"/>
    </row>
    <row r="254" spans="1:9" x14ac:dyDescent="0.4">
      <c r="A254" s="16"/>
      <c r="D254" s="2"/>
      <c r="I254" s="2"/>
    </row>
    <row r="255" spans="1:9" x14ac:dyDescent="0.4">
      <c r="A255" s="16"/>
      <c r="D255" s="2"/>
      <c r="I255" s="2"/>
    </row>
    <row r="256" spans="1:9" x14ac:dyDescent="0.4">
      <c r="A256" s="16"/>
      <c r="D256" s="2"/>
      <c r="I256" s="2"/>
    </row>
    <row r="257" spans="1:9" x14ac:dyDescent="0.4">
      <c r="A257" s="16"/>
      <c r="D257" s="2"/>
      <c r="I257" s="2"/>
    </row>
    <row r="258" spans="1:9" x14ac:dyDescent="0.4">
      <c r="A258" s="16"/>
      <c r="D258" s="2"/>
      <c r="I258" s="2"/>
    </row>
    <row r="259" spans="1:9" x14ac:dyDescent="0.4">
      <c r="A259" s="16"/>
      <c r="D259" s="2"/>
      <c r="I259" s="2"/>
    </row>
    <row r="260" spans="1:9" x14ac:dyDescent="0.4">
      <c r="A260" s="16"/>
      <c r="D260" s="2"/>
      <c r="I260" s="2"/>
    </row>
    <row r="261" spans="1:9" x14ac:dyDescent="0.4">
      <c r="A261" s="16"/>
      <c r="D261" s="2"/>
      <c r="I261" s="2"/>
    </row>
    <row r="262" spans="1:9" x14ac:dyDescent="0.4">
      <c r="A262" s="16"/>
      <c r="D262" s="2"/>
      <c r="I262" s="2"/>
    </row>
    <row r="263" spans="1:9" x14ac:dyDescent="0.4">
      <c r="A263" s="16"/>
      <c r="D263" s="2"/>
      <c r="I263" s="2"/>
    </row>
    <row r="264" spans="1:9" x14ac:dyDescent="0.4">
      <c r="A264" s="16"/>
      <c r="D264" s="2"/>
      <c r="I264" s="2"/>
    </row>
    <row r="265" spans="1:9" x14ac:dyDescent="0.4">
      <c r="A265" s="16"/>
      <c r="D265" s="2"/>
      <c r="I265" s="2"/>
    </row>
    <row r="266" spans="1:9" x14ac:dyDescent="0.4">
      <c r="A266" s="16"/>
      <c r="D266" s="2"/>
      <c r="I266" s="2"/>
    </row>
    <row r="267" spans="1:9" x14ac:dyDescent="0.4">
      <c r="A267" s="16"/>
      <c r="D267" s="2"/>
      <c r="I267" s="2"/>
    </row>
    <row r="268" spans="1:9" x14ac:dyDescent="0.4">
      <c r="A268" s="16"/>
      <c r="D268" s="2"/>
      <c r="I268" s="2"/>
    </row>
    <row r="269" spans="1:9" x14ac:dyDescent="0.4">
      <c r="A269" s="16"/>
      <c r="D269" s="2"/>
      <c r="I269" s="2"/>
    </row>
    <row r="270" spans="1:9" x14ac:dyDescent="0.4">
      <c r="A270" s="16"/>
      <c r="D270" s="2"/>
      <c r="I270" s="2"/>
    </row>
    <row r="271" spans="1:9" x14ac:dyDescent="0.4">
      <c r="A271" s="16"/>
      <c r="D271" s="2"/>
      <c r="I271" s="2"/>
    </row>
    <row r="272" spans="1:9" x14ac:dyDescent="0.4">
      <c r="A272" s="16"/>
      <c r="D272" s="2"/>
      <c r="I272" s="2"/>
    </row>
    <row r="273" spans="1:9" x14ac:dyDescent="0.4">
      <c r="A273" s="16"/>
      <c r="D273" s="2"/>
      <c r="I273" s="2"/>
    </row>
    <row r="274" spans="1:9" x14ac:dyDescent="0.4">
      <c r="A274" s="16"/>
      <c r="D274" s="2"/>
      <c r="I274" s="2"/>
    </row>
    <row r="275" spans="1:9" x14ac:dyDescent="0.4">
      <c r="A275" s="16"/>
      <c r="D275" s="2"/>
      <c r="I275" s="2"/>
    </row>
    <row r="276" spans="1:9" x14ac:dyDescent="0.4">
      <c r="A276" s="16"/>
      <c r="D276" s="2"/>
      <c r="I276" s="2"/>
    </row>
    <row r="277" spans="1:9" x14ac:dyDescent="0.4">
      <c r="A277" s="16"/>
      <c r="D277" s="2"/>
      <c r="I277" s="2"/>
    </row>
    <row r="278" spans="1:9" x14ac:dyDescent="0.4">
      <c r="A278" s="16"/>
      <c r="D278" s="2"/>
      <c r="I278" s="2"/>
    </row>
    <row r="279" spans="1:9" x14ac:dyDescent="0.4">
      <c r="A279" s="16"/>
      <c r="D279" s="2"/>
      <c r="I279" s="2"/>
    </row>
    <row r="280" spans="1:9" x14ac:dyDescent="0.4">
      <c r="A280" s="16"/>
      <c r="D280" s="2"/>
      <c r="I280" s="2"/>
    </row>
    <row r="281" spans="1:9" x14ac:dyDescent="0.4">
      <c r="A281" s="16"/>
      <c r="D281" s="2"/>
      <c r="I281" s="2"/>
    </row>
    <row r="282" spans="1:9" x14ac:dyDescent="0.4">
      <c r="A282" s="16"/>
      <c r="D282" s="2"/>
      <c r="I282" s="2"/>
    </row>
    <row r="283" spans="1:9" x14ac:dyDescent="0.4">
      <c r="A283" s="16"/>
      <c r="D283" s="2"/>
      <c r="I283" s="2"/>
    </row>
    <row r="284" spans="1:9" x14ac:dyDescent="0.4">
      <c r="A284" s="16"/>
      <c r="D284" s="2"/>
      <c r="I284" s="2"/>
    </row>
    <row r="285" spans="1:9" x14ac:dyDescent="0.4">
      <c r="A285" s="16"/>
      <c r="D285" s="2"/>
      <c r="I285" s="2"/>
    </row>
    <row r="286" spans="1:9" x14ac:dyDescent="0.4">
      <c r="A286" s="16"/>
      <c r="D286" s="2"/>
      <c r="I286" s="2"/>
    </row>
    <row r="287" spans="1:9" x14ac:dyDescent="0.4">
      <c r="A287" s="16"/>
      <c r="D287" s="2"/>
      <c r="I287" s="2"/>
    </row>
    <row r="288" spans="1:9" x14ac:dyDescent="0.4">
      <c r="A288" s="16"/>
      <c r="D288" s="2"/>
      <c r="I288" s="2"/>
    </row>
    <row r="289" spans="1:9" x14ac:dyDescent="0.4">
      <c r="A289" s="16"/>
      <c r="D289" s="2"/>
      <c r="I289" s="2"/>
    </row>
    <row r="290" spans="1:9" x14ac:dyDescent="0.4">
      <c r="A290" s="16"/>
      <c r="D290" s="2"/>
      <c r="I290" s="2"/>
    </row>
    <row r="291" spans="1:9" x14ac:dyDescent="0.4">
      <c r="A291" s="16"/>
      <c r="D291" s="2"/>
      <c r="I291" s="2"/>
    </row>
    <row r="292" spans="1:9" x14ac:dyDescent="0.4">
      <c r="A292" s="16"/>
      <c r="D292" s="2"/>
      <c r="I292" s="2"/>
    </row>
    <row r="293" spans="1:9" x14ac:dyDescent="0.4">
      <c r="A293" s="16"/>
      <c r="D293" s="2"/>
      <c r="I293" s="2"/>
    </row>
    <row r="294" spans="1:9" x14ac:dyDescent="0.4">
      <c r="A294" s="16"/>
      <c r="D294" s="2"/>
      <c r="I294" s="2"/>
    </row>
    <row r="295" spans="1:9" x14ac:dyDescent="0.4">
      <c r="A295" s="16"/>
      <c r="D295" s="2"/>
      <c r="I295" s="2"/>
    </row>
    <row r="296" spans="1:9" x14ac:dyDescent="0.4">
      <c r="A296" s="16"/>
      <c r="D296" s="2"/>
      <c r="I296" s="2"/>
    </row>
    <row r="297" spans="1:9" x14ac:dyDescent="0.4">
      <c r="A297" s="16"/>
      <c r="D297" s="2"/>
      <c r="I297" s="2"/>
    </row>
    <row r="298" spans="1:9" x14ac:dyDescent="0.4">
      <c r="A298" s="16"/>
      <c r="D298" s="2"/>
      <c r="I298" s="2"/>
    </row>
    <row r="299" spans="1:9" x14ac:dyDescent="0.4">
      <c r="A299" s="16"/>
      <c r="D299" s="2"/>
      <c r="I299" s="2"/>
    </row>
    <row r="300" spans="1:9" x14ac:dyDescent="0.4">
      <c r="A300" s="16"/>
      <c r="D300" s="2"/>
      <c r="I300" s="2"/>
    </row>
    <row r="301" spans="1:9" x14ac:dyDescent="0.4">
      <c r="A301" s="16"/>
      <c r="D301" s="2"/>
      <c r="I301" s="2"/>
    </row>
    <row r="302" spans="1:9" x14ac:dyDescent="0.4">
      <c r="A302" s="16"/>
      <c r="D302" s="2"/>
      <c r="I302" s="2"/>
    </row>
    <row r="303" spans="1:9" x14ac:dyDescent="0.4">
      <c r="A303" s="16"/>
      <c r="D303" s="2"/>
      <c r="I303" s="2"/>
    </row>
    <row r="304" spans="1:9" x14ac:dyDescent="0.4">
      <c r="A304" s="16"/>
      <c r="D304" s="2"/>
      <c r="I304" s="2"/>
    </row>
    <row r="305" spans="1:9" x14ac:dyDescent="0.4">
      <c r="A305" s="16"/>
      <c r="D305" s="2"/>
      <c r="I305" s="2"/>
    </row>
    <row r="306" spans="1:9" x14ac:dyDescent="0.4">
      <c r="A306" s="16"/>
      <c r="D306" s="2"/>
      <c r="I306" s="2"/>
    </row>
    <row r="307" spans="1:9" x14ac:dyDescent="0.4">
      <c r="A307" s="16"/>
      <c r="D307" s="2"/>
      <c r="I307" s="2"/>
    </row>
    <row r="308" spans="1:9" x14ac:dyDescent="0.4">
      <c r="A308" s="16"/>
      <c r="D308" s="2"/>
      <c r="I308" s="2"/>
    </row>
    <row r="309" spans="1:9" x14ac:dyDescent="0.4">
      <c r="A309" s="16"/>
      <c r="D309" s="2"/>
      <c r="I309" s="2"/>
    </row>
    <row r="310" spans="1:9" x14ac:dyDescent="0.4">
      <c r="A310" s="16"/>
      <c r="D310" s="2"/>
      <c r="I310" s="2"/>
    </row>
    <row r="311" spans="1:9" x14ac:dyDescent="0.4">
      <c r="A311" s="16"/>
      <c r="D311" s="2"/>
      <c r="I311" s="2"/>
    </row>
    <row r="312" spans="1:9" x14ac:dyDescent="0.4">
      <c r="A312" s="16"/>
      <c r="D312" s="2"/>
      <c r="I312" s="2"/>
    </row>
    <row r="313" spans="1:9" x14ac:dyDescent="0.4">
      <c r="A313" s="16"/>
      <c r="D313" s="2"/>
      <c r="I313" s="2"/>
    </row>
    <row r="314" spans="1:9" x14ac:dyDescent="0.4">
      <c r="A314" s="16"/>
      <c r="D314" s="2"/>
      <c r="I314" s="2"/>
    </row>
    <row r="315" spans="1:9" x14ac:dyDescent="0.4">
      <c r="A315" s="16"/>
      <c r="D315" s="2"/>
      <c r="I315" s="2"/>
    </row>
    <row r="316" spans="1:9" x14ac:dyDescent="0.4">
      <c r="A316" s="16"/>
      <c r="D316" s="2"/>
      <c r="I316" s="2"/>
    </row>
    <row r="317" spans="1:9" x14ac:dyDescent="0.4">
      <c r="A317" s="16"/>
      <c r="D317" s="2"/>
      <c r="I317" s="2"/>
    </row>
    <row r="318" spans="1:9" x14ac:dyDescent="0.4">
      <c r="A318" s="16"/>
      <c r="D318" s="2"/>
      <c r="I318" s="2"/>
    </row>
    <row r="319" spans="1:9" x14ac:dyDescent="0.4">
      <c r="A319" s="16"/>
      <c r="D319" s="2"/>
      <c r="I319" s="2"/>
    </row>
    <row r="320" spans="1:9" x14ac:dyDescent="0.4">
      <c r="A320" s="16"/>
      <c r="D320" s="2"/>
      <c r="I320" s="2"/>
    </row>
    <row r="321" spans="1:9" x14ac:dyDescent="0.4">
      <c r="A321" s="16"/>
      <c r="D321" s="2"/>
      <c r="I321" s="2"/>
    </row>
    <row r="322" spans="1:9" x14ac:dyDescent="0.4">
      <c r="A322" s="16"/>
      <c r="D322" s="2"/>
      <c r="I322" s="2"/>
    </row>
    <row r="323" spans="1:9" x14ac:dyDescent="0.4">
      <c r="A323" s="16"/>
      <c r="D323" s="2"/>
      <c r="I323" s="2"/>
    </row>
    <row r="324" spans="1:9" x14ac:dyDescent="0.4">
      <c r="A324" s="16"/>
      <c r="D324" s="2"/>
      <c r="I324" s="2"/>
    </row>
    <row r="325" spans="1:9" x14ac:dyDescent="0.4">
      <c r="A325" s="16"/>
      <c r="D325" s="2"/>
      <c r="I325" s="2"/>
    </row>
    <row r="326" spans="1:9" x14ac:dyDescent="0.4">
      <c r="A326" s="16"/>
      <c r="D326" s="2"/>
      <c r="I326" s="2"/>
    </row>
    <row r="327" spans="1:9" x14ac:dyDescent="0.4">
      <c r="A327" s="16"/>
      <c r="D327" s="2"/>
      <c r="I327" s="2"/>
    </row>
    <row r="328" spans="1:9" x14ac:dyDescent="0.4">
      <c r="A328" s="16"/>
      <c r="D328" s="2"/>
      <c r="I328" s="2"/>
    </row>
    <row r="329" spans="1:9" x14ac:dyDescent="0.4">
      <c r="A329" s="16"/>
      <c r="D329" s="2"/>
      <c r="I329" s="2"/>
    </row>
    <row r="330" spans="1:9" x14ac:dyDescent="0.4">
      <c r="A330" s="16"/>
      <c r="D330" s="2"/>
      <c r="I330" s="2"/>
    </row>
    <row r="331" spans="1:9" x14ac:dyDescent="0.4">
      <c r="A331" s="16"/>
      <c r="D331" s="2"/>
      <c r="I331" s="2"/>
    </row>
    <row r="332" spans="1:9" x14ac:dyDescent="0.4">
      <c r="A332" s="16"/>
      <c r="D332" s="2"/>
      <c r="I332" s="2"/>
    </row>
    <row r="333" spans="1:9" x14ac:dyDescent="0.4">
      <c r="A333" s="16"/>
      <c r="D333" s="2"/>
      <c r="I333" s="2"/>
    </row>
    <row r="334" spans="1:9" x14ac:dyDescent="0.4">
      <c r="A334" s="16"/>
      <c r="D334" s="2"/>
      <c r="I334" s="2"/>
    </row>
    <row r="335" spans="1:9" x14ac:dyDescent="0.4">
      <c r="A335" s="16"/>
      <c r="D335" s="2"/>
      <c r="I335" s="2"/>
    </row>
    <row r="336" spans="1:9" x14ac:dyDescent="0.4">
      <c r="A336" s="16"/>
      <c r="D336" s="2"/>
      <c r="I336" s="2"/>
    </row>
    <row r="337" spans="1:9" x14ac:dyDescent="0.4">
      <c r="A337" s="16"/>
      <c r="D337" s="2"/>
      <c r="I337" s="2"/>
    </row>
    <row r="338" spans="1:9" x14ac:dyDescent="0.4">
      <c r="A338" s="16"/>
      <c r="D338" s="2"/>
      <c r="I338" s="2"/>
    </row>
    <row r="339" spans="1:9" x14ac:dyDescent="0.4">
      <c r="A339" s="16"/>
      <c r="D339" s="2"/>
      <c r="I339" s="2"/>
    </row>
    <row r="340" spans="1:9" x14ac:dyDescent="0.4">
      <c r="A340" s="16"/>
      <c r="D340" s="2"/>
      <c r="I340" s="2"/>
    </row>
    <row r="341" spans="1:9" x14ac:dyDescent="0.4">
      <c r="A341" s="16"/>
      <c r="D341" s="2"/>
      <c r="I341" s="2"/>
    </row>
    <row r="342" spans="1:9" x14ac:dyDescent="0.4">
      <c r="A342" s="16"/>
      <c r="D342" s="2"/>
      <c r="I342" s="2"/>
    </row>
    <row r="343" spans="1:9" x14ac:dyDescent="0.4">
      <c r="A343" s="16"/>
      <c r="D343" s="2"/>
      <c r="I343" s="2"/>
    </row>
    <row r="344" spans="1:9" x14ac:dyDescent="0.4">
      <c r="A344" s="16"/>
      <c r="D344" s="2"/>
      <c r="I344" s="2"/>
    </row>
    <row r="345" spans="1:9" x14ac:dyDescent="0.4">
      <c r="A345" s="16"/>
      <c r="D345" s="2"/>
      <c r="I345" s="2"/>
    </row>
    <row r="346" spans="1:9" x14ac:dyDescent="0.4">
      <c r="A346" s="16"/>
      <c r="D346" s="2"/>
      <c r="I346" s="2"/>
    </row>
    <row r="347" spans="1:9" x14ac:dyDescent="0.4">
      <c r="A347" s="16"/>
      <c r="D347" s="2"/>
      <c r="I347" s="2"/>
    </row>
    <row r="348" spans="1:9" x14ac:dyDescent="0.4">
      <c r="A348" s="16"/>
      <c r="D348" s="2"/>
      <c r="I348" s="2"/>
    </row>
    <row r="349" spans="1:9" x14ac:dyDescent="0.4">
      <c r="A349" s="16"/>
      <c r="D349" s="2"/>
      <c r="I349" s="2"/>
    </row>
    <row r="350" spans="1:9" x14ac:dyDescent="0.4">
      <c r="A350" s="16"/>
      <c r="D350" s="2"/>
      <c r="I350" s="2"/>
    </row>
    <row r="351" spans="1:9" x14ac:dyDescent="0.4">
      <c r="A351" s="16"/>
      <c r="D351" s="2"/>
      <c r="I351" s="2"/>
    </row>
    <row r="352" spans="1:9" x14ac:dyDescent="0.4">
      <c r="A352" s="16"/>
      <c r="D352" s="2"/>
      <c r="I352" s="2"/>
    </row>
    <row r="353" spans="1:9" x14ac:dyDescent="0.4">
      <c r="A353" s="16"/>
      <c r="D353" s="2"/>
      <c r="I353" s="2"/>
    </row>
    <row r="354" spans="1:9" x14ac:dyDescent="0.4">
      <c r="A354" s="16"/>
      <c r="D354" s="2"/>
      <c r="I354" s="2"/>
    </row>
    <row r="355" spans="1:9" x14ac:dyDescent="0.4">
      <c r="A355" s="16"/>
      <c r="D355" s="2"/>
      <c r="I355" s="2"/>
    </row>
    <row r="356" spans="1:9" x14ac:dyDescent="0.4">
      <c r="A356" s="16"/>
      <c r="D356" s="2"/>
      <c r="I356" s="2"/>
    </row>
    <row r="357" spans="1:9" x14ac:dyDescent="0.4">
      <c r="A357" s="16"/>
      <c r="D357" s="2"/>
      <c r="I357" s="2"/>
    </row>
    <row r="358" spans="1:9" x14ac:dyDescent="0.4">
      <c r="A358" s="16"/>
      <c r="D358" s="2"/>
      <c r="I358" s="2"/>
    </row>
    <row r="359" spans="1:9" x14ac:dyDescent="0.4">
      <c r="A359" s="16"/>
      <c r="D359" s="2"/>
      <c r="I359" s="2"/>
    </row>
    <row r="360" spans="1:9" x14ac:dyDescent="0.4">
      <c r="A360" s="16"/>
      <c r="D360" s="2"/>
      <c r="I360" s="2"/>
    </row>
    <row r="361" spans="1:9" x14ac:dyDescent="0.4">
      <c r="A361" s="16"/>
      <c r="D361" s="2"/>
      <c r="I361" s="2"/>
    </row>
    <row r="362" spans="1:9" x14ac:dyDescent="0.4">
      <c r="A362" s="16"/>
      <c r="D362" s="2"/>
      <c r="I362" s="2"/>
    </row>
    <row r="363" spans="1:9" x14ac:dyDescent="0.4">
      <c r="A363" s="16"/>
      <c r="D363" s="2"/>
      <c r="I363" s="2"/>
    </row>
    <row r="364" spans="1:9" x14ac:dyDescent="0.4">
      <c r="A364" s="16"/>
      <c r="D364" s="2"/>
      <c r="I364" s="2"/>
    </row>
    <row r="365" spans="1:9" x14ac:dyDescent="0.4">
      <c r="A365" s="16"/>
      <c r="D365" s="2"/>
      <c r="I365" s="2"/>
    </row>
    <row r="366" spans="1:9" x14ac:dyDescent="0.4">
      <c r="A366" s="16"/>
      <c r="D366" s="2"/>
      <c r="I366" s="2"/>
    </row>
    <row r="367" spans="1:9" x14ac:dyDescent="0.4">
      <c r="A367" s="16"/>
      <c r="D367" s="2"/>
      <c r="I367" s="2"/>
    </row>
    <row r="368" spans="1:9" x14ac:dyDescent="0.4">
      <c r="A368" s="16"/>
      <c r="D368" s="2"/>
      <c r="I368" s="2"/>
    </row>
    <row r="369" spans="1:9" x14ac:dyDescent="0.4">
      <c r="A369" s="16"/>
      <c r="D369" s="2"/>
      <c r="I369" s="2"/>
    </row>
    <row r="370" spans="1:9" x14ac:dyDescent="0.4">
      <c r="A370" s="16"/>
      <c r="D370" s="2"/>
      <c r="I370" s="2"/>
    </row>
    <row r="371" spans="1:9" x14ac:dyDescent="0.4">
      <c r="A371" s="16"/>
      <c r="D371" s="2"/>
      <c r="I371" s="2"/>
    </row>
    <row r="372" spans="1:9" x14ac:dyDescent="0.4">
      <c r="A372" s="16"/>
      <c r="D372" s="2"/>
      <c r="I372" s="2"/>
    </row>
    <row r="373" spans="1:9" x14ac:dyDescent="0.4">
      <c r="A373" s="16"/>
      <c r="D373" s="2"/>
      <c r="I373" s="2"/>
    </row>
    <row r="374" spans="1:9" x14ac:dyDescent="0.4">
      <c r="A374" s="16"/>
      <c r="D374" s="2"/>
      <c r="I374" s="2"/>
    </row>
    <row r="375" spans="1:9" x14ac:dyDescent="0.4">
      <c r="A375" s="16"/>
      <c r="D375" s="2"/>
      <c r="I375" s="2"/>
    </row>
    <row r="376" spans="1:9" x14ac:dyDescent="0.4">
      <c r="A376" s="16"/>
      <c r="D376" s="2"/>
      <c r="I376" s="2"/>
    </row>
    <row r="377" spans="1:9" x14ac:dyDescent="0.4">
      <c r="A377" s="16"/>
      <c r="D377" s="2"/>
      <c r="I377" s="2"/>
    </row>
    <row r="378" spans="1:9" x14ac:dyDescent="0.4">
      <c r="A378" s="16"/>
      <c r="D378" s="2"/>
      <c r="I378" s="2"/>
    </row>
    <row r="379" spans="1:9" x14ac:dyDescent="0.4">
      <c r="A379" s="16"/>
      <c r="D379" s="2"/>
      <c r="I379" s="2"/>
    </row>
    <row r="380" spans="1:9" x14ac:dyDescent="0.4">
      <c r="A380" s="16"/>
      <c r="D380" s="2"/>
      <c r="I380" s="2"/>
    </row>
    <row r="381" spans="1:9" x14ac:dyDescent="0.4">
      <c r="A381" s="16"/>
      <c r="D381" s="2"/>
      <c r="I381" s="2"/>
    </row>
    <row r="382" spans="1:9" x14ac:dyDescent="0.4">
      <c r="A382" s="16"/>
      <c r="D382" s="2"/>
      <c r="I382" s="2"/>
    </row>
    <row r="383" spans="1:9" x14ac:dyDescent="0.4">
      <c r="A383" s="16"/>
      <c r="D383" s="2"/>
      <c r="I383" s="2"/>
    </row>
    <row r="384" spans="1:9" x14ac:dyDescent="0.4">
      <c r="A384" s="16"/>
      <c r="D384" s="2"/>
      <c r="I384" s="2"/>
    </row>
    <row r="385" spans="1:9" x14ac:dyDescent="0.4">
      <c r="A385" s="16"/>
      <c r="D385" s="2"/>
      <c r="I385" s="2"/>
    </row>
    <row r="386" spans="1:9" x14ac:dyDescent="0.4">
      <c r="A386" s="16"/>
      <c r="D386" s="2"/>
      <c r="I386" s="2"/>
    </row>
    <row r="387" spans="1:9" x14ac:dyDescent="0.4">
      <c r="A387" s="16"/>
      <c r="D387" s="2"/>
      <c r="I387" s="2"/>
    </row>
    <row r="388" spans="1:9" x14ac:dyDescent="0.4">
      <c r="A388" s="16"/>
      <c r="D388" s="2"/>
      <c r="I388" s="2"/>
    </row>
    <row r="389" spans="1:9" x14ac:dyDescent="0.4">
      <c r="A389" s="16"/>
      <c r="D389" s="2"/>
      <c r="I389" s="2"/>
    </row>
    <row r="390" spans="1:9" x14ac:dyDescent="0.4">
      <c r="A390" s="16"/>
      <c r="D390" s="2"/>
      <c r="I390" s="2"/>
    </row>
    <row r="391" spans="1:9" x14ac:dyDescent="0.4">
      <c r="A391" s="16"/>
      <c r="D391" s="2"/>
      <c r="I391" s="2"/>
    </row>
    <row r="392" spans="1:9" x14ac:dyDescent="0.4">
      <c r="A392" s="16"/>
      <c r="D392" s="2"/>
      <c r="I392" s="2"/>
    </row>
    <row r="393" spans="1:9" x14ac:dyDescent="0.4">
      <c r="A393" s="16"/>
      <c r="D393" s="2"/>
      <c r="I393" s="2"/>
    </row>
    <row r="394" spans="1:9" x14ac:dyDescent="0.4">
      <c r="A394" s="16"/>
      <c r="D394" s="2"/>
      <c r="I394" s="2"/>
    </row>
    <row r="395" spans="1:9" x14ac:dyDescent="0.4">
      <c r="A395" s="16"/>
      <c r="D395" s="2"/>
      <c r="I395" s="2"/>
    </row>
    <row r="396" spans="1:9" x14ac:dyDescent="0.4">
      <c r="A396" s="16"/>
      <c r="D396" s="2"/>
      <c r="I396" s="2"/>
    </row>
    <row r="397" spans="1:9" x14ac:dyDescent="0.4">
      <c r="A397" s="16"/>
      <c r="D397" s="2"/>
      <c r="I397" s="2"/>
    </row>
    <row r="398" spans="1:9" x14ac:dyDescent="0.4">
      <c r="A398" s="16"/>
      <c r="D398" s="2"/>
      <c r="I398" s="2"/>
    </row>
    <row r="399" spans="1:9" x14ac:dyDescent="0.4">
      <c r="A399" s="16"/>
      <c r="D399" s="2"/>
      <c r="I399" s="2"/>
    </row>
    <row r="400" spans="1:9" x14ac:dyDescent="0.4">
      <c r="A400" s="16"/>
      <c r="D400" s="2"/>
      <c r="I400" s="2"/>
    </row>
    <row r="401" spans="1:9" x14ac:dyDescent="0.4">
      <c r="A401" s="16"/>
      <c r="D401" s="2"/>
      <c r="I401" s="2"/>
    </row>
    <row r="402" spans="1:9" x14ac:dyDescent="0.4">
      <c r="A402" s="16"/>
      <c r="D402" s="2"/>
      <c r="I402" s="2"/>
    </row>
    <row r="403" spans="1:9" x14ac:dyDescent="0.4">
      <c r="A403" s="16"/>
      <c r="D403" s="2"/>
      <c r="I403" s="2"/>
    </row>
    <row r="404" spans="1:9" x14ac:dyDescent="0.4">
      <c r="A404" s="16"/>
      <c r="D404" s="2"/>
      <c r="I404" s="2"/>
    </row>
    <row r="405" spans="1:9" x14ac:dyDescent="0.4">
      <c r="A405" s="16"/>
      <c r="D405" s="2"/>
      <c r="I405" s="2"/>
    </row>
    <row r="406" spans="1:9" x14ac:dyDescent="0.4">
      <c r="A406" s="16"/>
      <c r="D406" s="2"/>
      <c r="I406" s="2"/>
    </row>
    <row r="407" spans="1:9" x14ac:dyDescent="0.4">
      <c r="A407" s="16"/>
      <c r="D407" s="2"/>
      <c r="I407" s="2"/>
    </row>
    <row r="408" spans="1:9" x14ac:dyDescent="0.4">
      <c r="A408" s="16"/>
      <c r="D408" s="2"/>
      <c r="I408" s="2"/>
    </row>
    <row r="409" spans="1:9" x14ac:dyDescent="0.4">
      <c r="A409" s="16"/>
      <c r="D409" s="2"/>
      <c r="I409" s="2"/>
    </row>
    <row r="410" spans="1:9" x14ac:dyDescent="0.4">
      <c r="A410" s="16"/>
      <c r="D410" s="2"/>
      <c r="I410" s="2"/>
    </row>
    <row r="411" spans="1:9" x14ac:dyDescent="0.4">
      <c r="A411" s="16"/>
      <c r="D411" s="2"/>
      <c r="I411" s="2"/>
    </row>
    <row r="412" spans="1:9" x14ac:dyDescent="0.4">
      <c r="A412" s="16"/>
      <c r="D412" s="2"/>
      <c r="I412" s="2"/>
    </row>
    <row r="413" spans="1:9" x14ac:dyDescent="0.4">
      <c r="A413" s="16"/>
      <c r="D413" s="2"/>
      <c r="I413" s="2"/>
    </row>
    <row r="414" spans="1:9" x14ac:dyDescent="0.4">
      <c r="A414" s="16"/>
      <c r="D414" s="2"/>
      <c r="I414" s="2"/>
    </row>
    <row r="415" spans="1:9" x14ac:dyDescent="0.4">
      <c r="A415" s="16"/>
      <c r="D415" s="2"/>
      <c r="I415" s="2"/>
    </row>
    <row r="416" spans="1:9" x14ac:dyDescent="0.4">
      <c r="A416" s="16"/>
      <c r="D416" s="2"/>
      <c r="I416" s="2"/>
    </row>
    <row r="417" spans="1:9" x14ac:dyDescent="0.4">
      <c r="A417" s="16"/>
      <c r="D417" s="2"/>
      <c r="I417" s="2"/>
    </row>
    <row r="418" spans="1:9" x14ac:dyDescent="0.4">
      <c r="A418" s="16"/>
      <c r="D418" s="2"/>
      <c r="I418" s="2"/>
    </row>
    <row r="419" spans="1:9" x14ac:dyDescent="0.4">
      <c r="A419" s="16"/>
      <c r="D419" s="2"/>
      <c r="I419" s="2"/>
    </row>
    <row r="420" spans="1:9" x14ac:dyDescent="0.4">
      <c r="A420" s="16"/>
      <c r="D420" s="2"/>
      <c r="I420" s="2"/>
    </row>
    <row r="421" spans="1:9" x14ac:dyDescent="0.4">
      <c r="A421" s="16"/>
      <c r="D421" s="2"/>
      <c r="I421" s="2"/>
    </row>
    <row r="422" spans="1:9" x14ac:dyDescent="0.4">
      <c r="A422" s="16"/>
      <c r="D422" s="2"/>
      <c r="I422" s="2"/>
    </row>
    <row r="423" spans="1:9" x14ac:dyDescent="0.4">
      <c r="A423" s="16"/>
      <c r="D423" s="2"/>
      <c r="I423" s="2"/>
    </row>
    <row r="424" spans="1:9" x14ac:dyDescent="0.4">
      <c r="A424" s="16"/>
      <c r="D424" s="2"/>
      <c r="I424" s="2"/>
    </row>
    <row r="425" spans="1:9" x14ac:dyDescent="0.4">
      <c r="A425" s="16"/>
      <c r="D425" s="2"/>
      <c r="I425" s="2"/>
    </row>
    <row r="426" spans="1:9" x14ac:dyDescent="0.4">
      <c r="A426" s="16"/>
      <c r="D426" s="2"/>
      <c r="I426" s="2"/>
    </row>
    <row r="427" spans="1:9" x14ac:dyDescent="0.4">
      <c r="A427" s="16"/>
      <c r="D427" s="2"/>
      <c r="I427" s="2"/>
    </row>
    <row r="428" spans="1:9" x14ac:dyDescent="0.4">
      <c r="A428" s="16"/>
      <c r="D428" s="2"/>
      <c r="I428" s="2"/>
    </row>
    <row r="429" spans="1:9" x14ac:dyDescent="0.4">
      <c r="A429" s="16"/>
      <c r="D429" s="2"/>
      <c r="I429" s="2"/>
    </row>
    <row r="430" spans="1:9" x14ac:dyDescent="0.4">
      <c r="A430" s="16"/>
      <c r="D430" s="2"/>
      <c r="I430" s="2"/>
    </row>
    <row r="431" spans="1:9" x14ac:dyDescent="0.4">
      <c r="A431" s="16"/>
      <c r="D431" s="2"/>
      <c r="I431" s="2"/>
    </row>
    <row r="432" spans="1:9" x14ac:dyDescent="0.4">
      <c r="A432" s="16"/>
      <c r="D432" s="2"/>
      <c r="I432" s="2"/>
    </row>
    <row r="433" spans="1:9" x14ac:dyDescent="0.4">
      <c r="A433" s="16"/>
      <c r="D433" s="2"/>
      <c r="I433" s="2"/>
    </row>
    <row r="434" spans="1:9" x14ac:dyDescent="0.4">
      <c r="A434" s="16"/>
      <c r="D434" s="2"/>
      <c r="I434" s="2"/>
    </row>
    <row r="435" spans="1:9" x14ac:dyDescent="0.4">
      <c r="A435" s="16"/>
      <c r="D435" s="2"/>
      <c r="I435" s="2"/>
    </row>
    <row r="436" spans="1:9" x14ac:dyDescent="0.4">
      <c r="A436" s="16"/>
      <c r="D436" s="2"/>
      <c r="I436" s="2"/>
    </row>
    <row r="437" spans="1:9" x14ac:dyDescent="0.4">
      <c r="A437" s="16"/>
      <c r="D437" s="2"/>
      <c r="I437" s="2"/>
    </row>
    <row r="438" spans="1:9" x14ac:dyDescent="0.4">
      <c r="A438" s="16"/>
      <c r="D438" s="2"/>
      <c r="I438" s="2"/>
    </row>
    <row r="439" spans="1:9" x14ac:dyDescent="0.4">
      <c r="A439" s="16"/>
      <c r="D439" s="2"/>
      <c r="I439" s="2"/>
    </row>
    <row r="440" spans="1:9" x14ac:dyDescent="0.4">
      <c r="A440" s="16"/>
      <c r="D440" s="2"/>
      <c r="I440" s="2"/>
    </row>
    <row r="441" spans="1:9" x14ac:dyDescent="0.4">
      <c r="A441" s="16"/>
      <c r="D441" s="2"/>
      <c r="I441" s="2"/>
    </row>
    <row r="442" spans="1:9" x14ac:dyDescent="0.4">
      <c r="A442" s="16"/>
      <c r="D442" s="2"/>
      <c r="I442" s="2"/>
    </row>
    <row r="443" spans="1:9" x14ac:dyDescent="0.4">
      <c r="A443" s="16"/>
      <c r="D443" s="2"/>
      <c r="I443" s="2"/>
    </row>
    <row r="444" spans="1:9" x14ac:dyDescent="0.4">
      <c r="A444" s="16"/>
      <c r="D444" s="2"/>
      <c r="I444" s="2"/>
    </row>
    <row r="445" spans="1:9" x14ac:dyDescent="0.4">
      <c r="A445" s="16"/>
      <c r="D445" s="2"/>
      <c r="I445" s="2"/>
    </row>
    <row r="446" spans="1:9" x14ac:dyDescent="0.4">
      <c r="A446" s="16"/>
      <c r="D446" s="2"/>
      <c r="I446" s="2"/>
    </row>
    <row r="447" spans="1:9" x14ac:dyDescent="0.4">
      <c r="A447" s="16"/>
      <c r="D447" s="2"/>
      <c r="I447" s="2"/>
    </row>
    <row r="448" spans="1:9" x14ac:dyDescent="0.4">
      <c r="A448" s="16"/>
      <c r="D448" s="2"/>
      <c r="I448" s="2"/>
    </row>
    <row r="449" spans="1:9" x14ac:dyDescent="0.4">
      <c r="A449" s="16"/>
      <c r="D449" s="2"/>
      <c r="I449" s="2"/>
    </row>
    <row r="450" spans="1:9" x14ac:dyDescent="0.4">
      <c r="A450" s="16"/>
      <c r="D450" s="2"/>
      <c r="I450" s="2"/>
    </row>
    <row r="451" spans="1:9" x14ac:dyDescent="0.4">
      <c r="A451" s="16"/>
      <c r="D451" s="2"/>
      <c r="I451" s="2"/>
    </row>
    <row r="452" spans="1:9" x14ac:dyDescent="0.4">
      <c r="A452" s="16"/>
      <c r="D452" s="2"/>
      <c r="I452" s="2"/>
    </row>
    <row r="453" spans="1:9" x14ac:dyDescent="0.4">
      <c r="A453" s="16"/>
      <c r="D453" s="2"/>
      <c r="I453" s="2"/>
    </row>
    <row r="454" spans="1:9" x14ac:dyDescent="0.4">
      <c r="A454" s="16"/>
      <c r="D454" s="2"/>
      <c r="I454" s="2"/>
    </row>
    <row r="455" spans="1:9" x14ac:dyDescent="0.4">
      <c r="A455" s="16"/>
      <c r="D455" s="2"/>
      <c r="I455" s="2"/>
    </row>
    <row r="456" spans="1:9" x14ac:dyDescent="0.4">
      <c r="A456" s="16"/>
      <c r="D456" s="2"/>
      <c r="I456" s="2"/>
    </row>
    <row r="457" spans="1:9" x14ac:dyDescent="0.4">
      <c r="A457" s="16"/>
      <c r="D457" s="2"/>
      <c r="I457" s="2"/>
    </row>
    <row r="458" spans="1:9" x14ac:dyDescent="0.4">
      <c r="A458" s="16"/>
      <c r="D458" s="2"/>
      <c r="I458" s="2"/>
    </row>
    <row r="459" spans="1:9" x14ac:dyDescent="0.4">
      <c r="A459" s="16"/>
      <c r="D459" s="2"/>
      <c r="I459" s="2"/>
    </row>
    <row r="460" spans="1:9" x14ac:dyDescent="0.4">
      <c r="A460" s="16"/>
      <c r="D460" s="2"/>
      <c r="I460" s="2"/>
    </row>
    <row r="461" spans="1:9" x14ac:dyDescent="0.4">
      <c r="A461" s="16"/>
      <c r="D461" s="2"/>
      <c r="I461" s="2"/>
    </row>
    <row r="462" spans="1:9" x14ac:dyDescent="0.4">
      <c r="A462" s="16"/>
      <c r="D462" s="2"/>
      <c r="I462" s="2"/>
    </row>
    <row r="463" spans="1:9" x14ac:dyDescent="0.4">
      <c r="A463" s="16"/>
      <c r="D463" s="2"/>
      <c r="I463" s="2"/>
    </row>
    <row r="464" spans="1:9" x14ac:dyDescent="0.4">
      <c r="A464" s="16"/>
      <c r="D464" s="2"/>
      <c r="I464" s="2"/>
    </row>
    <row r="465" spans="1:9" x14ac:dyDescent="0.4">
      <c r="A465" s="16"/>
      <c r="D465" s="2"/>
      <c r="I465" s="2"/>
    </row>
    <row r="466" spans="1:9" x14ac:dyDescent="0.4">
      <c r="A466" s="16"/>
      <c r="D466" s="2"/>
      <c r="I466" s="2"/>
    </row>
    <row r="467" spans="1:9" x14ac:dyDescent="0.4">
      <c r="A467" s="16"/>
      <c r="D467" s="2"/>
      <c r="I467" s="2"/>
    </row>
    <row r="468" spans="1:9" x14ac:dyDescent="0.4">
      <c r="A468" s="16"/>
      <c r="D468" s="2"/>
      <c r="I468" s="2"/>
    </row>
    <row r="469" spans="1:9" x14ac:dyDescent="0.4">
      <c r="A469" s="16"/>
      <c r="D469" s="2"/>
      <c r="I469" s="2"/>
    </row>
    <row r="470" spans="1:9" x14ac:dyDescent="0.4">
      <c r="A470" s="16"/>
      <c r="D470" s="2"/>
      <c r="I470" s="2"/>
    </row>
    <row r="471" spans="1:9" x14ac:dyDescent="0.4">
      <c r="A471" s="16"/>
      <c r="D471" s="2"/>
      <c r="I471" s="2"/>
    </row>
    <row r="472" spans="1:9" x14ac:dyDescent="0.4">
      <c r="A472" s="16"/>
      <c r="D472" s="2"/>
      <c r="I472" s="2"/>
    </row>
    <row r="473" spans="1:9" x14ac:dyDescent="0.4">
      <c r="A473" s="16"/>
      <c r="D473" s="2"/>
      <c r="I473" s="2"/>
    </row>
    <row r="474" spans="1:9" x14ac:dyDescent="0.4">
      <c r="A474" s="16"/>
      <c r="D474" s="2"/>
      <c r="I474" s="2"/>
    </row>
    <row r="475" spans="1:9" x14ac:dyDescent="0.4">
      <c r="A475" s="16"/>
      <c r="D475" s="2"/>
      <c r="I475" s="2"/>
    </row>
    <row r="476" spans="1:9" x14ac:dyDescent="0.4">
      <c r="A476" s="16"/>
      <c r="D476" s="2"/>
      <c r="I476" s="2"/>
    </row>
    <row r="477" spans="1:9" x14ac:dyDescent="0.4">
      <c r="A477" s="16"/>
      <c r="D477" s="2"/>
      <c r="I477" s="2"/>
    </row>
    <row r="478" spans="1:9" x14ac:dyDescent="0.4">
      <c r="A478" s="16"/>
      <c r="D478" s="2"/>
      <c r="I478" s="2"/>
    </row>
    <row r="479" spans="1:9" x14ac:dyDescent="0.4">
      <c r="A479" s="16"/>
      <c r="D479" s="2"/>
      <c r="I479" s="2"/>
    </row>
    <row r="480" spans="1:9" x14ac:dyDescent="0.4">
      <c r="A480" s="16"/>
      <c r="D480" s="2"/>
      <c r="I480" s="2"/>
    </row>
    <row r="481" spans="1:9" x14ac:dyDescent="0.4">
      <c r="A481" s="16"/>
      <c r="D481" s="2"/>
      <c r="I481" s="2"/>
    </row>
    <row r="482" spans="1:9" x14ac:dyDescent="0.4">
      <c r="A482" s="16"/>
      <c r="D482" s="2"/>
      <c r="I482" s="2"/>
    </row>
    <row r="483" spans="1:9" x14ac:dyDescent="0.4">
      <c r="A483" s="16"/>
      <c r="D483" s="2"/>
      <c r="I483" s="2"/>
    </row>
    <row r="484" spans="1:9" x14ac:dyDescent="0.4">
      <c r="A484" s="16"/>
      <c r="D484" s="2"/>
      <c r="I484" s="2"/>
    </row>
    <row r="485" spans="1:9" x14ac:dyDescent="0.4">
      <c r="A485" s="16"/>
      <c r="D485" s="2"/>
      <c r="I485" s="2"/>
    </row>
    <row r="486" spans="1:9" x14ac:dyDescent="0.4">
      <c r="A486" s="16"/>
      <c r="D486" s="2"/>
      <c r="I486" s="2"/>
    </row>
    <row r="487" spans="1:9" x14ac:dyDescent="0.4">
      <c r="A487" s="16"/>
      <c r="D487" s="2"/>
      <c r="I487" s="2"/>
    </row>
    <row r="488" spans="1:9" x14ac:dyDescent="0.4">
      <c r="A488" s="16"/>
      <c r="D488" s="2"/>
      <c r="I488" s="2"/>
    </row>
    <row r="489" spans="1:9" x14ac:dyDescent="0.4">
      <c r="A489" s="16"/>
      <c r="D489" s="2"/>
      <c r="I489" s="2"/>
    </row>
    <row r="490" spans="1:9" x14ac:dyDescent="0.4">
      <c r="A490" s="16"/>
      <c r="D490" s="2"/>
      <c r="I490" s="2"/>
    </row>
    <row r="491" spans="1:9" x14ac:dyDescent="0.4">
      <c r="A491" s="16"/>
      <c r="D491" s="2"/>
      <c r="I491" s="2"/>
    </row>
    <row r="492" spans="1:9" x14ac:dyDescent="0.4">
      <c r="A492" s="16"/>
      <c r="D492" s="2"/>
      <c r="I492" s="2"/>
    </row>
    <row r="493" spans="1:9" x14ac:dyDescent="0.4">
      <c r="A493" s="16"/>
      <c r="D493" s="2"/>
      <c r="I493" s="2"/>
    </row>
    <row r="494" spans="1:9" x14ac:dyDescent="0.4">
      <c r="A494" s="16"/>
      <c r="D494" s="2"/>
      <c r="I494" s="2"/>
    </row>
    <row r="495" spans="1:9" x14ac:dyDescent="0.4">
      <c r="A495" s="16"/>
      <c r="D495" s="2"/>
      <c r="I495" s="2"/>
    </row>
    <row r="496" spans="1:9" x14ac:dyDescent="0.4">
      <c r="A496" s="16"/>
      <c r="D496" s="2"/>
      <c r="I496" s="2"/>
    </row>
    <row r="497" spans="1:9" x14ac:dyDescent="0.4">
      <c r="A497" s="16"/>
      <c r="D497" s="2"/>
      <c r="I497" s="2"/>
    </row>
    <row r="498" spans="1:9" x14ac:dyDescent="0.4">
      <c r="A498" s="16"/>
      <c r="D498" s="2"/>
      <c r="I498" s="2"/>
    </row>
    <row r="499" spans="1:9" x14ac:dyDescent="0.4">
      <c r="A499" s="16"/>
      <c r="D499" s="2"/>
      <c r="I499" s="2"/>
    </row>
    <row r="500" spans="1:9" x14ac:dyDescent="0.4">
      <c r="A500" s="16"/>
      <c r="D500" s="2"/>
      <c r="I500" s="2"/>
    </row>
    <row r="501" spans="1:9" x14ac:dyDescent="0.4">
      <c r="A501" s="16"/>
      <c r="D501" s="2"/>
      <c r="I501" s="2"/>
    </row>
    <row r="502" spans="1:9" x14ac:dyDescent="0.4">
      <c r="A502" s="16"/>
      <c r="D502" s="2"/>
      <c r="I502" s="2"/>
    </row>
    <row r="503" spans="1:9" x14ac:dyDescent="0.4">
      <c r="A503" s="16"/>
      <c r="D503" s="2"/>
      <c r="I503" s="2"/>
    </row>
    <row r="504" spans="1:9" x14ac:dyDescent="0.4">
      <c r="A504" s="16"/>
      <c r="D504" s="2"/>
      <c r="I504" s="2"/>
    </row>
  </sheetData>
  <phoneticPr fontId="2" type="noConversion"/>
  <hyperlinks>
    <hyperlink ref="B63" r:id="rId1" display="https://www.slickcharts.com/symbol/AAPL" xr:uid="{6C3E57AB-94E6-4F24-A0F3-6285FB49C590}"/>
    <hyperlink ref="C63" r:id="rId2" display="https://www.slickcharts.com/symbol/AAPL" xr:uid="{502B0FBC-55EF-4DDA-B8D8-23FBB5039A89}"/>
    <hyperlink ref="B64" r:id="rId3" display="https://www.slickcharts.com/symbol/MSFT" xr:uid="{C91541A7-DE93-444F-8B7B-D2870562F554}"/>
    <hyperlink ref="C64" r:id="rId4" display="https://www.slickcharts.com/symbol/MSFT" xr:uid="{EE4BD32E-483D-4D33-8A7B-16B9F128A8EB}"/>
    <hyperlink ref="B65" r:id="rId5" display="https://www.slickcharts.com/symbol/NVDA" xr:uid="{CB12FF88-B10C-4F1D-80D6-BDC11947D35D}"/>
    <hyperlink ref="C65" r:id="rId6" display="https://www.slickcharts.com/symbol/NVDA" xr:uid="{CBDE0F8B-A336-4199-BE3F-AEF97D1B6680}"/>
    <hyperlink ref="B99" r:id="rId7" display="https://www.slickcharts.com/symbol/AMZN" xr:uid="{4A315291-8CE4-44F7-B41D-662C67D5EB9D}"/>
    <hyperlink ref="C99" r:id="rId8" display="https://www.slickcharts.com/symbol/AMZN" xr:uid="{957A9287-BE8F-4CB6-9886-8932221CD286}"/>
    <hyperlink ref="B66" r:id="rId9" display="https://www.slickcharts.com/symbol/META" xr:uid="{1C9425EC-8270-489E-944C-1179497C59C0}"/>
    <hyperlink ref="C66" r:id="rId10" display="https://www.slickcharts.com/symbol/META" xr:uid="{0F137C02-892D-4BC9-A2DA-4FAC23779599}"/>
    <hyperlink ref="B128" r:id="rId11" display="https://www.slickcharts.com/symbol/BRK.B" xr:uid="{AC9FFBA2-1A8D-44F7-8ED7-C4C0D6B97B6D}"/>
    <hyperlink ref="C128" r:id="rId12" display="https://www.slickcharts.com/symbol/BRK.B" xr:uid="{49C68055-D034-463E-A45D-2D41427220E7}"/>
    <hyperlink ref="B67" r:id="rId13" display="https://www.slickcharts.com/symbol/GOOGL" xr:uid="{049DD0D3-97B1-44C0-96CD-BABA6F01091A}"/>
    <hyperlink ref="C67" r:id="rId14" display="https://www.slickcharts.com/symbol/GOOGL" xr:uid="{2F70BF25-CD51-4763-97F2-1FBFE77D92AD}"/>
    <hyperlink ref="B68" r:id="rId15" display="https://www.slickcharts.com/symbol/AVGO" xr:uid="{DF21164D-3BAF-4EDB-8267-B0A422114179}"/>
    <hyperlink ref="C68" r:id="rId16" display="https://www.slickcharts.com/symbol/AVGO" xr:uid="{CA8C3A12-E6BC-4793-B117-C72ACA71D152}"/>
    <hyperlink ref="B16" r:id="rId17" display="https://www.slickcharts.com/symbol/TSLA" xr:uid="{114C3E8A-2D45-4720-8422-18F03EF5907D}"/>
    <hyperlink ref="C16" r:id="rId18" display="https://www.slickcharts.com/symbol/TSLA" xr:uid="{4DC8976C-68FD-4A74-A4C6-249A7533DE6E}"/>
    <hyperlink ref="B129" r:id="rId19" display="https://www.slickcharts.com/symbol/JPM" xr:uid="{D82666B8-CF84-48AB-9924-271B2FE476E3}"/>
    <hyperlink ref="C129" r:id="rId20" display="https://www.slickcharts.com/symbol/JPM" xr:uid="{B3ECA726-CCD0-47C9-BE73-A3A69003857E}"/>
    <hyperlink ref="B114" r:id="rId21" display="https://www.slickcharts.com/symbol/LLY" xr:uid="{A568B509-7431-41C3-82C7-AADCCE401515}"/>
    <hyperlink ref="C114" r:id="rId22" display="https://www.slickcharts.com/symbol/LLY" xr:uid="{F6F389CA-226F-45FB-9C53-18BF410CAABC}"/>
    <hyperlink ref="B143" r:id="rId23" display="https://www.slickcharts.com/symbol/V" xr:uid="{B080A308-2696-424D-94B2-4F224040F77A}"/>
    <hyperlink ref="C143" r:id="rId24" display="https://www.slickcharts.com/symbol/V" xr:uid="{8ACEB2FF-F666-412C-A7D9-1D26F4C56CDE}"/>
    <hyperlink ref="B144" r:id="rId25" display="https://www.slickcharts.com/symbol/NFLX" xr:uid="{5F8EFFCE-717E-439D-BC3B-BCB72E6E713A}"/>
    <hyperlink ref="C144" r:id="rId26" display="https://www.slickcharts.com/symbol/NFLX" xr:uid="{62DD6241-991D-465D-8490-4FAD6C98A4C1}"/>
    <hyperlink ref="B37" r:id="rId27" display="https://www.slickcharts.com/symbol/XOM" xr:uid="{7E6C74A1-4423-4DF4-BC6E-2E478E3CD0A4}"/>
    <hyperlink ref="C37" r:id="rId28" display="https://www.slickcharts.com/symbol/XOM" xr:uid="{16628D48-8DC8-44CF-9F9C-D70D5642DCA9}"/>
    <hyperlink ref="B145" r:id="rId29" display="https://www.slickcharts.com/symbol/MA" xr:uid="{E4C3E28F-513B-475B-8BDA-4D921F148AD2}"/>
    <hyperlink ref="C145" r:id="rId30" display="https://www.slickcharts.com/symbol/MA" xr:uid="{4A59DA61-7710-4DE3-B84C-9B4BFA91823A}"/>
    <hyperlink ref="B100" r:id="rId31" display="https://www.slickcharts.com/symbol/COST" xr:uid="{146E1189-4342-4C21-8580-C4400950FEAE}"/>
    <hyperlink ref="C100" r:id="rId32" display="https://www.slickcharts.com/symbol/COST" xr:uid="{D2404528-62DB-4044-8E8D-C1EDE5E9D5F9}"/>
    <hyperlink ref="B101" r:id="rId33" display="https://www.slickcharts.com/symbol/WMT" xr:uid="{78762939-116F-4980-BD17-1C96117B25B8}"/>
    <hyperlink ref="C101" r:id="rId34" display="https://www.slickcharts.com/symbol/WMT" xr:uid="{75947DE6-51F8-4E47-BF66-48E0855347CA}"/>
    <hyperlink ref="B49" r:id="rId35" display="https://www.slickcharts.com/symbol/PG" xr:uid="{DA7C005A-91DF-4765-B221-B6F8AB507F3F}"/>
    <hyperlink ref="C49" r:id="rId36" display="https://www.slickcharts.com/symbol/PG" xr:uid="{480939FE-88C3-44ED-BDD6-8F473370ECBE}"/>
    <hyperlink ref="B115" r:id="rId37" display="https://www.slickcharts.com/symbol/JNJ" xr:uid="{C720897C-F157-4695-B9F3-7A1300608CE2}"/>
    <hyperlink ref="C115" r:id="rId38" display="https://www.slickcharts.com/symbol/JNJ" xr:uid="{06E3F201-E1BA-4AC4-999B-5EEEB99F16D3}"/>
    <hyperlink ref="B130" r:id="rId39" display="https://www.slickcharts.com/symbol/UNH" xr:uid="{1C779EB8-3AED-403F-8C8D-F968BB65D1CE}"/>
    <hyperlink ref="C130" r:id="rId40" display="https://www.slickcharts.com/symbol/UNH" xr:uid="{8BCBB52D-ACE0-4D03-8CE5-42C5B1DEBE2D}"/>
    <hyperlink ref="B102" r:id="rId41" display="https://www.slickcharts.com/symbol/HD" xr:uid="{7EF5E441-0C14-400B-923E-070C76F640B6}"/>
    <hyperlink ref="C102" r:id="rId42" display="https://www.slickcharts.com/symbol/HD" xr:uid="{452C3CEC-DD6A-4F92-BCB2-86B9DFBF1F6F}"/>
    <hyperlink ref="B116" r:id="rId43" display="https://www.slickcharts.com/symbol/ABBV" xr:uid="{A234B336-478A-48FB-97C9-D02E23D7C6BB}"/>
    <hyperlink ref="C116" r:id="rId44" display="https://www.slickcharts.com/symbol/ABBV" xr:uid="{C2ADA7F2-D8AA-49AC-BBF7-163A7B3341C2}"/>
    <hyperlink ref="B2" r:id="rId45" display="https://www.slickcharts.com/symbol/KO" xr:uid="{D8E415B7-56B7-41FB-B58D-48AEB682531F}"/>
    <hyperlink ref="C2" r:id="rId46" display="https://www.slickcharts.com/symbol/KO" xr:uid="{440016D2-CC7F-4C37-A7ED-6EE062923E65}"/>
    <hyperlink ref="B131" r:id="rId47" display="https://www.slickcharts.com/symbol/BAC" xr:uid="{B341BCE4-631E-47B7-9D24-C5216A7B3B28}"/>
    <hyperlink ref="C131" r:id="rId48" display="https://www.slickcharts.com/symbol/BAC" xr:uid="{5C6D53DE-077A-4261-B51F-4D7970A6E75A}"/>
    <hyperlink ref="B3" r:id="rId49" display="https://www.slickcharts.com/symbol/PM" xr:uid="{8E964257-CB01-4625-8117-9FC8DE1263E7}"/>
    <hyperlink ref="C3" r:id="rId50" display="https://www.slickcharts.com/symbol/PM" xr:uid="{3B3F2312-ABE9-452D-A075-7255A5C313B0}"/>
    <hyperlink ref="B69" r:id="rId51" display="https://www.slickcharts.com/symbol/CRM" xr:uid="{0348830D-1AFF-4A14-A69F-A015FF5E0C83}"/>
    <hyperlink ref="C69" r:id="rId52" display="https://www.slickcharts.com/symbol/CRM" xr:uid="{7129998B-8835-442C-9355-31DAABB03257}"/>
    <hyperlink ref="B70" r:id="rId53" display="https://www.slickcharts.com/symbol/PLTR" xr:uid="{E089F488-6E0E-41A0-8A86-275B80653AD4}"/>
    <hyperlink ref="C70" r:id="rId54" display="https://www.slickcharts.com/symbol/PLTR" xr:uid="{E92B9C51-EB5A-4869-A27C-091D1BE39916}"/>
    <hyperlink ref="B132" r:id="rId55" display="https://www.slickcharts.com/symbol/WFC" xr:uid="{895FE7D8-62C0-475C-B181-8491DAD58518}"/>
    <hyperlink ref="C132" r:id="rId56" display="https://www.slickcharts.com/symbol/WFC" xr:uid="{A735E1C4-677D-40B5-B325-B36BE0A11197}"/>
    <hyperlink ref="B71" r:id="rId57" display="https://www.slickcharts.com/symbol/ORCL" xr:uid="{7C779CC5-0D82-4D84-9BDF-73450B6932D9}"/>
    <hyperlink ref="C71" r:id="rId58" display="https://www.slickcharts.com/symbol/ORCL" xr:uid="{C87968CF-F030-430B-A051-0957746983FA}"/>
    <hyperlink ref="B72" r:id="rId59" display="https://www.slickcharts.com/symbol/CSCO" xr:uid="{E558424B-1F0A-4FFE-9D81-3C29815FED6F}"/>
    <hyperlink ref="C72" r:id="rId60" display="https://www.slickcharts.com/symbol/CSCO" xr:uid="{A445C76E-A3CB-46D6-AD3F-8C676CCFB3F3}"/>
    <hyperlink ref="B38" r:id="rId61" display="https://www.slickcharts.com/symbol/CVX" xr:uid="{1384A081-6AF4-4375-A57A-EEB4D577CD9D}"/>
    <hyperlink ref="C38" r:id="rId62" display="https://www.slickcharts.com/symbol/CVX" xr:uid="{E932379A-C5FF-46A5-8567-3EE2D48729CD}"/>
    <hyperlink ref="B117" r:id="rId63" display="https://www.slickcharts.com/symbol/ABT" xr:uid="{AC8E213F-0C00-4535-B381-6BA29B75AA8F}"/>
    <hyperlink ref="C117" r:id="rId64" display="https://www.slickcharts.com/symbol/ABT" xr:uid="{2EC46810-0A0A-48CA-933F-BA991485D94D}"/>
    <hyperlink ref="B103" r:id="rId65" display="https://www.slickcharts.com/symbol/MCD" xr:uid="{B8A4E622-13A8-4650-9B5F-DE636F749F93}"/>
    <hyperlink ref="C103" r:id="rId66" display="https://www.slickcharts.com/symbol/MCD" xr:uid="{FA2D8150-4799-47ED-999A-E88B15DA7978}"/>
    <hyperlink ref="B73" r:id="rId67" display="https://www.slickcharts.com/symbol/IBM" xr:uid="{654C3107-1A95-43D5-8F38-2F0D4B15A26E}"/>
    <hyperlink ref="C73" r:id="rId68" display="https://www.slickcharts.com/symbol/IBM" xr:uid="{CE5D2D18-8DF0-487A-9B7E-5A244E157DEB}"/>
    <hyperlink ref="B22" r:id="rId69" display="https://www.slickcharts.com/symbol/GE" xr:uid="{0306E537-B4E6-4633-A3CE-B221F713C757}"/>
    <hyperlink ref="C22" r:id="rId70" display="https://www.slickcharts.com/symbol/GE" xr:uid="{F9E973A3-B03B-4177-8389-92446696F6CC}"/>
    <hyperlink ref="B50" r:id="rId71" display="https://www.slickcharts.com/symbol/LIN" xr:uid="{299BBDDA-A69A-490A-8849-37BBC3EBA013}"/>
    <hyperlink ref="C50" r:id="rId72" display="https://www.slickcharts.com/symbol/LIN" xr:uid="{94C7ED93-C94F-4453-97AA-E07F07F9A1E5}"/>
    <hyperlink ref="B118" r:id="rId73" display="https://www.slickcharts.com/symbol/MRK" xr:uid="{94C4AE05-0035-45C1-A48D-03D9C795A058}"/>
    <hyperlink ref="C118" r:id="rId74" display="https://www.slickcharts.com/symbol/MRK" xr:uid="{7041F8F5-E5F6-4373-ADFF-F72D7FAB73C4}"/>
    <hyperlink ref="B78" r:id="rId75" display="https://www.slickcharts.com/symbol/T" xr:uid="{22B629DC-9F3A-4E0D-9365-014D707DCF4E}"/>
    <hyperlink ref="C78" r:id="rId76" display="https://www.slickcharts.com/symbol/T" xr:uid="{74B957EB-5F56-4E82-97A6-722B099432D9}"/>
    <hyperlink ref="B74" r:id="rId77" display="https://www.slickcharts.com/symbol/NOW" xr:uid="{EE13E431-5153-4C38-97FA-5EE76AA12ACC}"/>
    <hyperlink ref="C74" r:id="rId78" display="https://www.slickcharts.com/symbol/NOW" xr:uid="{1E5B6AB0-541A-4F23-A238-164DCA58D8E0}"/>
    <hyperlink ref="B146" r:id="rId79" display="https://www.slickcharts.com/symbol/ACN" xr:uid="{17E7FE45-C108-4190-9EE5-019B632503BF}"/>
    <hyperlink ref="C146" r:id="rId80" display="https://www.slickcharts.com/symbol/ACN" xr:uid="{65A7074E-0875-416F-A127-4037A17A5CB6}"/>
    <hyperlink ref="B119" r:id="rId81" display="https://www.slickcharts.com/symbol/ISRG" xr:uid="{C49909D5-8741-4760-A34D-B3BE49E9941B}"/>
    <hyperlink ref="C119" r:id="rId82" display="https://www.slickcharts.com/symbol/ISRG" xr:uid="{5160DFAB-4EA8-48F7-9B5F-530F716D9138}"/>
    <hyperlink ref="B4" r:id="rId83" display="https://www.slickcharts.com/symbol/PEP" xr:uid="{6145DA10-BC5B-424A-AA94-A9249FF59BB1}"/>
    <hyperlink ref="C4" r:id="rId84" display="https://www.slickcharts.com/symbol/PEP" xr:uid="{8DFB1835-0B47-40F2-A3CA-CA569529A58B}"/>
    <hyperlink ref="B79" r:id="rId85" display="https://www.slickcharts.com/symbol/VZ" xr:uid="{CA51A6AA-B20B-4095-B42F-5552B2BDF855}"/>
    <hyperlink ref="C79" r:id="rId86" display="https://www.slickcharts.com/symbol/VZ" xr:uid="{19E609C7-630E-41FD-AB6E-F47EFEFB791C}"/>
    <hyperlink ref="B75" r:id="rId87" display="https://www.slickcharts.com/symbol/INTU" xr:uid="{B8D96A38-3463-42ED-8E92-77C3674AF11B}"/>
    <hyperlink ref="C75" r:id="rId88" display="https://www.slickcharts.com/symbol/INTU" xr:uid="{8BAA66C3-2965-43B0-9BC7-14778915FBE7}"/>
    <hyperlink ref="B133" r:id="rId89" display="https://www.slickcharts.com/symbol/GS" xr:uid="{432DD789-AE1F-4A8D-99E3-66E86CB32A1A}"/>
    <hyperlink ref="C133" r:id="rId90" display="https://www.slickcharts.com/symbol/GS" xr:uid="{AEA53179-3220-430A-A1DE-82BC28B46E04}"/>
    <hyperlink ref="B23" r:id="rId91" display="https://www.slickcharts.com/symbol/RTX" xr:uid="{1ACEAB67-1CD3-4A57-9342-C0F320D8765E}"/>
    <hyperlink ref="C23" r:id="rId92" display="https://www.slickcharts.com/symbol/RTX" xr:uid="{46998858-F81C-47FA-916E-B994E9B578AA}"/>
    <hyperlink ref="B147" r:id="rId93" display="https://www.slickcharts.com/symbol/UBER" xr:uid="{5464004C-C134-435D-82E6-53AE301A6808}"/>
    <hyperlink ref="C147" r:id="rId94" display="https://www.slickcharts.com/symbol/UBER" xr:uid="{326A3E82-BBCE-436A-B8AF-2F355EEE206C}"/>
    <hyperlink ref="B148" r:id="rId95" display="https://www.slickcharts.com/symbol/BKNG" xr:uid="{1A3B9E79-019D-490B-ACFC-3360FFF3E09B}"/>
    <hyperlink ref="C148" r:id="rId96" display="https://www.slickcharts.com/symbol/BKNG" xr:uid="{1ABEC530-D6FC-4529-A198-775DF5464358}"/>
    <hyperlink ref="B149" r:id="rId97" display="https://www.slickcharts.com/symbol/DIS" xr:uid="{C4AFA9F0-9C30-4D93-90BA-A599DC1254B7}"/>
    <hyperlink ref="C149" r:id="rId98" display="https://www.slickcharts.com/symbol/DIS" xr:uid="{DDCFBF86-4EFA-408B-A4E2-FAFD7846038F}"/>
    <hyperlink ref="B76" r:id="rId99" display="https://www.slickcharts.com/symbol/ADBE" xr:uid="{3A21308A-E4A9-4895-8018-313458D3E258}"/>
    <hyperlink ref="C76" r:id="rId100" display="https://www.slickcharts.com/symbol/ADBE" xr:uid="{38A5C2C6-7FC0-49E5-9B4F-291B6266B374}"/>
    <hyperlink ref="B134" r:id="rId101" display="https://www.slickcharts.com/symbol/PGR" xr:uid="{44884651-A4F9-435B-AC80-9253567E5BFC}"/>
    <hyperlink ref="C134" r:id="rId102" display="https://www.slickcharts.com/symbol/PGR" xr:uid="{8FF29154-7F1F-49B9-B152-48C12E2BE699}"/>
    <hyperlink ref="B77" r:id="rId103" display="https://www.slickcharts.com/symbol/TMO" xr:uid="{0003EDA7-0C56-414F-B0A2-9D93C35733E2}"/>
    <hyperlink ref="C77" r:id="rId104" display="https://www.slickcharts.com/symbol/TMO" xr:uid="{F2764545-0EF4-4C4A-902D-932FFAFA7992}"/>
    <hyperlink ref="B150" r:id="rId105" display="https://www.slickcharts.com/symbol/SPGI" xr:uid="{0096A4D0-1DB4-4F28-8AAE-C61A268B37F5}"/>
    <hyperlink ref="C150" r:id="rId106" display="https://www.slickcharts.com/symbol/SPGI" xr:uid="{B2B7FD7C-077B-4087-A490-77468808CF52}"/>
    <hyperlink ref="B120" r:id="rId107" display="https://www.slickcharts.com/symbol/AMGN" xr:uid="{AF5BCF40-E595-44EB-8F2B-656B05199EC5}"/>
    <hyperlink ref="C120" r:id="rId108" display="https://www.slickcharts.com/symbol/AMGN" xr:uid="{BDE49A66-E379-42E1-BDB8-B12EA97A7A06}"/>
    <hyperlink ref="B121" r:id="rId109" display="https://www.slickcharts.com/symbol/BSX" xr:uid="{2D68E9F3-9C3A-4D00-B3A0-FF67176BDB82}"/>
    <hyperlink ref="C121" r:id="rId110" display="https://www.slickcharts.com/symbol/BSX" xr:uid="{DFCC98C9-B0D1-4286-8D76-4FDAD4E0F2CF}"/>
    <hyperlink ref="B24" r:id="rId111" display="https://www.slickcharts.com/symbol/CAT" xr:uid="{6EE00BB5-2D0B-49DD-B066-D8B5E0632546}"/>
    <hyperlink ref="C24" r:id="rId112" display="https://www.slickcharts.com/symbol/CAT" xr:uid="{0A93DA2B-9A75-45F3-8F90-8EEDAA61BEDC}"/>
    <hyperlink ref="B135" r:id="rId113" display="https://www.slickcharts.com/symbol/AXP" xr:uid="{B5833C88-2394-4BC9-8EA7-CEA10B2F072E}"/>
    <hyperlink ref="C135" r:id="rId114" display="https://www.slickcharts.com/symbol/AXP" xr:uid="{86965C5F-BC54-4329-9E38-4AFFE37BDF14}"/>
    <hyperlink ref="B136" r:id="rId115" display="https://www.slickcharts.com/symbol/MS" xr:uid="{5A3623C9-5F06-412C-BE20-A983652516F9}"/>
    <hyperlink ref="C136" r:id="rId116" display="https://www.slickcharts.com/symbol/MS" xr:uid="{6799E62E-42B1-4667-8C15-22536DC199AF}"/>
    <hyperlink ref="B104" r:id="rId117" display="https://www.slickcharts.com/symbol/TJX" xr:uid="{007C6987-A654-4778-9D47-B4D86E60B775}"/>
    <hyperlink ref="C104" r:id="rId118" display="https://www.slickcharts.com/symbol/TJX" xr:uid="{47A7DA56-84FE-414C-B418-ABAFF944A59C}"/>
    <hyperlink ref="B137" r:id="rId119" display="https://www.slickcharts.com/symbol/SCHW" xr:uid="{82FF56DA-57B2-47B2-AE37-DB2259E9502C}"/>
    <hyperlink ref="C137" r:id="rId120" display="https://www.slickcharts.com/symbol/SCHW" xr:uid="{45884040-162E-40B5-A728-06EA1A3B7ED5}"/>
    <hyperlink ref="B25" r:id="rId121" display="https://www.slickcharts.com/symbol/BA" xr:uid="{F337885A-E332-47E7-8149-E6B62C6EE2CC}"/>
    <hyperlink ref="C25" r:id="rId122" display="https://www.slickcharts.com/symbol/BA" xr:uid="{243CE536-FA1A-4563-BB65-7A87D76E7A76}"/>
    <hyperlink ref="B26" r:id="rId123" display="https://www.slickcharts.com/symbol/HON" xr:uid="{B375512C-BB4F-49E9-9900-615379298025}"/>
    <hyperlink ref="C26" r:id="rId124" display="https://www.slickcharts.com/symbol/HON" xr:uid="{755A18E5-98FE-4EB2-9441-D78127A93E4C}"/>
    <hyperlink ref="B87" r:id="rId125" display="https://www.slickcharts.com/symbol/NEE" xr:uid="{A1EE9BE8-CC79-40CA-A917-443E1CD19148}"/>
    <hyperlink ref="C87" r:id="rId126" display="https://www.slickcharts.com/symbol/NEE" xr:uid="{703E96F6-AD48-4777-872A-58755BDF25C4}"/>
    <hyperlink ref="B122" r:id="rId127" display="https://www.slickcharts.com/symbol/PFE" xr:uid="{84F28891-9F98-48C3-9927-647336F7DDE4}"/>
    <hyperlink ref="C122" r:id="rId128" display="https://www.slickcharts.com/symbol/PFE" xr:uid="{13F4AB09-BD04-466B-9E2B-B9AB98F914CA}"/>
    <hyperlink ref="B138" r:id="rId129" display="https://www.slickcharts.com/symbol/BLK" xr:uid="{FCE7F2DD-DE33-419C-A219-17EDC391C397}"/>
    <hyperlink ref="C138" r:id="rId130" display="https://www.slickcharts.com/symbol/BLK" xr:uid="{772DEDF0-D2B7-4327-93E0-C9805E4EB66E}"/>
    <hyperlink ref="B151" r:id="rId131" display="https://www.slickcharts.com/symbol/UNP" xr:uid="{AB404391-960D-43AA-BAD1-557638324B7A}"/>
    <hyperlink ref="C151" r:id="rId132" display="https://www.slickcharts.com/symbol/UNP" xr:uid="{04FA1444-DB78-44E5-B953-F7391B671A32}"/>
    <hyperlink ref="B123" r:id="rId133" display="https://www.slickcharts.com/symbol/GILD" xr:uid="{266F8E45-E2F4-4C5B-92DE-957F0BE11488}"/>
    <hyperlink ref="C123" r:id="rId134" display="https://www.slickcharts.com/symbol/GILD" xr:uid="{773B4195-6EDB-480E-8051-AB80B2CAA024}"/>
    <hyperlink ref="B124" r:id="rId135" display="https://www.slickcharts.com/symbol/SYK" xr:uid="{CE34995F-A0E9-4614-A59D-F2E1376A9013}"/>
    <hyperlink ref="C124" r:id="rId136" display="https://www.slickcharts.com/symbol/SYK" xr:uid="{2EDCC1A7-5760-40FC-8EF5-FB41BEECBF97}"/>
    <hyperlink ref="B125" r:id="rId137" display="https://www.slickcharts.com/symbol/VRTX" xr:uid="{3AEE4D68-BB77-4505-A39B-828494065F53}"/>
    <hyperlink ref="C125" r:id="rId138" display="https://www.slickcharts.com/symbol/VRTX" xr:uid="{6E62465A-760A-42D0-8691-55A79FDA8FDC}"/>
    <hyperlink ref="B139" r:id="rId139" display="https://www.slickcharts.com/symbol/C" xr:uid="{621DE8FA-203F-4BDF-B5B3-C6DA5F787482}"/>
    <hyperlink ref="C139" r:id="rId140" display="https://www.slickcharts.com/symbol/C" xr:uid="{42FDA428-C186-4DDA-B7E0-1AAC09AED45C}"/>
    <hyperlink ref="B80" r:id="rId141" display="https://www.slickcharts.com/symbol/CMCSA" xr:uid="{8902A0A3-B319-458A-9AE4-4A0FFF3C2190}"/>
    <hyperlink ref="C80" r:id="rId142" display="https://www.slickcharts.com/symbol/CMCSA" xr:uid="{D7548E71-3BDD-4434-ADCD-2D0DB2179B00}"/>
    <hyperlink ref="B105" r:id="rId143" display="https://www.slickcharts.com/symbol/LOW" xr:uid="{62D38294-4D4E-4B3C-82DE-4A3099CF451F}"/>
    <hyperlink ref="C105" r:id="rId144" display="https://www.slickcharts.com/symbol/LOW" xr:uid="{2854DA97-B025-4A1B-B000-23E12A50A36B}"/>
    <hyperlink ref="B27" r:id="rId145" display="https://www.slickcharts.com/symbol/DE" xr:uid="{DBD228AF-23A3-4343-9EF6-381944A3428B}"/>
    <hyperlink ref="C27" r:id="rId146" display="https://www.slickcharts.com/symbol/DE" xr:uid="{C384FA5F-3AAE-4244-AE7D-C3AD3AD4E48B}"/>
    <hyperlink ref="B28" r:id="rId147" display="https://www.slickcharts.com/symbol/ETN" xr:uid="{1AE93610-EAD4-4268-BAAD-998614C4B464}"/>
    <hyperlink ref="C28" r:id="rId148" display="https://www.slickcharts.com/symbol/ETN" xr:uid="{DD8C36C8-1903-48D7-8B84-D1D65DF082E0}"/>
    <hyperlink ref="B81" r:id="rId149" display="https://www.slickcharts.com/symbol/TMUS" xr:uid="{D36DA950-006D-462B-A88C-9B433D2CF9A0}"/>
    <hyperlink ref="C81" r:id="rId150" display="https://www.slickcharts.com/symbol/TMUS" xr:uid="{7FB9B393-96CE-4729-B95E-A72E17914FF3}"/>
    <hyperlink ref="B39" r:id="rId151" display="https://www.slickcharts.com/symbol/COP" xr:uid="{6D1BD5ED-6547-4205-A7F7-4235C431962A}"/>
    <hyperlink ref="C39" r:id="rId152" display="https://www.slickcharts.com/symbol/COP" xr:uid="{0B8027C5-F0AE-42AF-8832-922755DDA41C}"/>
    <hyperlink ref="B140" r:id="rId153" display="https://www.slickcharts.com/symbol/MMC" xr:uid="{0E031B27-A001-49CC-8CA1-D189EEDE401E}"/>
    <hyperlink ref="C140" r:id="rId154" display="https://www.slickcharts.com/symbol/MMC" xr:uid="{0BA50B2E-888F-4E18-8544-8B8996FC4BB1}"/>
    <hyperlink ref="B126" r:id="rId155" display="https://www.slickcharts.com/symbol/MDT" xr:uid="{65B48B20-E37C-46B2-8B0A-FC49289937BA}"/>
    <hyperlink ref="C126" r:id="rId156" display="https://www.slickcharts.com/symbol/MDT" xr:uid="{8A60F186-D10D-4FE4-8BE7-7D99B440FA46}"/>
    <hyperlink ref="B141" r:id="rId157" display="https://www.slickcharts.com/symbol/CB" xr:uid="{5FFB81AC-7C86-4F63-AEBE-9FA9827A11CE}"/>
    <hyperlink ref="C141" r:id="rId158" display="https://www.slickcharts.com/symbol/CB" xr:uid="{D41F6868-26E0-44B2-B181-C8FB1A42CCC5}"/>
    <hyperlink ref="B29" r:id="rId159" display="https://www.slickcharts.com/symbol/GEV" xr:uid="{2ECB9C94-86A6-4186-B813-AB3E475220E2}"/>
    <hyperlink ref="C29" r:id="rId160" display="https://www.slickcharts.com/symbol/GEV" xr:uid="{8770856C-FF2F-4846-8519-E7D58519599E}"/>
    <hyperlink ref="B142" r:id="rId161" display="https://www.slickcharts.com/symbol/AMT" xr:uid="{7ABD5C1D-1167-4415-8AD0-1AAE5CD16B06}"/>
    <hyperlink ref="C142" r:id="rId162" display="https://www.slickcharts.com/symbol/AMT" xr:uid="{529DED30-C5EF-4C16-BAAB-5280195E2D48}"/>
    <hyperlink ref="B152" r:id="rId163" display="https://www.slickcharts.com/symbol/FI" xr:uid="{3C18D828-2816-4C41-88ED-4FAFD6B5A519}"/>
    <hyperlink ref="C152" r:id="rId164" display="https://www.slickcharts.com/symbol/FI" xr:uid="{07B9483A-1243-4F85-B550-43025636B20A}"/>
    <hyperlink ref="B127" r:id="rId165" display="https://www.slickcharts.com/symbol/BMY" xr:uid="{FE7B349C-96CC-43A7-B204-0AFCB7AA76CD}"/>
    <hyperlink ref="C127" r:id="rId166" display="https://www.slickcharts.com/symbol/BMY" xr:uid="{D6E66097-5709-483D-8817-0534E115F8FD}"/>
    <hyperlink ref="B5" r:id="rId167" display="https://www.slickcharts.com/symbol/MO" xr:uid="{3821FFAD-E97B-43D7-BFB2-FE590964F7AA}"/>
    <hyperlink ref="C5" r:id="rId168" display="https://www.slickcharts.com/symbol/MO" xr:uid="{F567BA34-A760-4362-A180-BC13346E16D2}"/>
    <hyperlink ref="B88" r:id="rId169" display="https://www.slickcharts.com/symbol/SO" xr:uid="{1FE1FA00-EE7E-4870-8773-A0940D9A8CE0}"/>
    <hyperlink ref="C88" r:id="rId170" display="https://www.slickcharts.com/symbol/SO" xr:uid="{ADE3C4F0-CC1E-4DAD-9196-E9B812115E5E}"/>
    <hyperlink ref="B30" r:id="rId171" display="https://www.slickcharts.com/symbol/LMT" xr:uid="{F5E05E50-890D-4E3A-A022-9E85E04FFF84}"/>
    <hyperlink ref="C30" r:id="rId172" display="https://www.slickcharts.com/symbol/LMT" xr:uid="{58724F65-1215-4774-A644-C0ED68F39DED}"/>
    <hyperlink ref="B89" r:id="rId173" display="https://www.slickcharts.com/symbol/DUK" xr:uid="{B3E08578-34B5-48E0-9A8F-AEC297DF2E26}"/>
    <hyperlink ref="C89" r:id="rId174" display="https://www.slickcharts.com/symbol/DUK" xr:uid="{ECBA6E1D-9D95-4A26-B461-94E5110C8250}"/>
    <hyperlink ref="B106" r:id="rId175" display="https://www.slickcharts.com/symbol/SBUX" xr:uid="{568921F2-77FA-41B9-B831-78BB5F96BFB5}"/>
    <hyperlink ref="C106" r:id="rId176" display="https://www.slickcharts.com/symbol/SBUX" xr:uid="{5D9D4E5A-80D1-4858-93E6-8CD68B5DB7AF}"/>
    <hyperlink ref="B31" r:id="rId177" display="https://www.slickcharts.com/symbol/LRCX" xr:uid="{FB6BACFE-8087-4E60-A21E-906DBD51EC3B}"/>
    <hyperlink ref="C31" r:id="rId178" display="https://www.slickcharts.com/symbol/LRCX" xr:uid="{65B952CE-CCEB-42BD-962E-DF2C5D614000}"/>
    <hyperlink ref="B107" r:id="rId179" display="https://www.slickcharts.com/symbol/MCK" xr:uid="{6C2D0199-D76E-4E41-8EC7-3623316113E9}"/>
    <hyperlink ref="C107" r:id="rId180" display="https://www.slickcharts.com/symbol/MCK" xr:uid="{14BCD919-B94C-4718-8721-8954296D0183}"/>
    <hyperlink ref="B6" r:id="rId181" display="https://www.slickcharts.com/symbol/MDLZ" xr:uid="{4C8F7BDA-A8FF-4F88-B2E1-8911E8E28105}"/>
    <hyperlink ref="C6" r:id="rId182" display="https://www.slickcharts.com/symbol/MDLZ" xr:uid="{716EB628-5E72-4629-B22A-702D9F7217F6}"/>
    <hyperlink ref="B108" r:id="rId183" display="https://www.slickcharts.com/symbol/CVS" xr:uid="{56C54562-5117-48B6-BC2E-4CDCC1EEFB84}"/>
    <hyperlink ref="C108" r:id="rId184" display="https://www.slickcharts.com/symbol/CVS" xr:uid="{D6FFE94F-B8B2-4351-9CF7-8673ACECD7ED}"/>
    <hyperlink ref="B153" r:id="rId185" display="https://www.slickcharts.com/symbol/WM" xr:uid="{C554558D-D86B-4F89-AA29-F131998AAE9A}"/>
    <hyperlink ref="C153" r:id="rId186" display="https://www.slickcharts.com/symbol/WM" xr:uid="{B8CCA029-6337-4D9C-BCE9-C375A05B5231}"/>
    <hyperlink ref="B109" r:id="rId187" display="https://www.slickcharts.com/symbol/SHW" xr:uid="{A33658FA-3B1A-4E60-BB28-668555FCC6A0}"/>
    <hyperlink ref="C109" r:id="rId188" display="https://www.slickcharts.com/symbol/SHW" xr:uid="{02153604-DE7E-4D6C-B443-CC343652537D}"/>
    <hyperlink ref="B110" r:id="rId189" display="https://www.slickcharts.com/symbol/ORLY" xr:uid="{679EB62C-9764-4DB1-89FB-D4E55DCAFB72}"/>
    <hyperlink ref="C110" r:id="rId190" display="https://www.slickcharts.com/symbol/ORLY" xr:uid="{B8F0B30B-42B4-4636-94E2-364C579B3211}"/>
    <hyperlink ref="B32" r:id="rId191" display="https://www.slickcharts.com/symbol/TDG" xr:uid="{453576EE-7009-46E8-A93F-4DAC8BB78A22}"/>
    <hyperlink ref="C32" r:id="rId192" display="https://www.slickcharts.com/symbol/TDG" xr:uid="{7DEFA9D0-F8B9-4828-90DA-A4E4DC019CAA}"/>
    <hyperlink ref="B33" r:id="rId193" display="https://www.slickcharts.com/symbol/PH" xr:uid="{5825EA81-1563-4DAE-8C13-B1B7DE13B272}"/>
    <hyperlink ref="C33" r:id="rId194" display="https://www.slickcharts.com/symbol/PH" xr:uid="{47B29F3F-34F6-4996-B92B-F0F65EBD81C1}"/>
    <hyperlink ref="B90" r:id="rId195" display="https://www.slickcharts.com/symbol/CEG" xr:uid="{B6BD8076-038C-49B1-9D97-576C9034FDE9}"/>
    <hyperlink ref="C90" r:id="rId196" display="https://www.slickcharts.com/symbol/CEG" xr:uid="{B064E74C-8DEE-4208-B4F4-9C082149DF08}"/>
    <hyperlink ref="B51" r:id="rId197" display="https://www.slickcharts.com/symbol/CL" xr:uid="{FC60D95F-BCDA-4D96-BA73-A15501E5195B}"/>
    <hyperlink ref="C51" r:id="rId198" display="https://www.slickcharts.com/symbol/CL" xr:uid="{AE210A7F-92EC-4E2A-B19F-73EB72F44C99}"/>
    <hyperlink ref="B7" r:id="rId199" display="https://www.slickcharts.com/symbol/CTAS" xr:uid="{16E0977A-91AF-4F87-990E-8677D1E2D90A}"/>
    <hyperlink ref="C7" r:id="rId200" display="https://www.slickcharts.com/symbol/CTAS" xr:uid="{B78481A2-16F1-4193-AB5E-3A79B2929CAB}"/>
    <hyperlink ref="B91" r:id="rId201" display="https://www.slickcharts.com/symbol/WMB" xr:uid="{74790810-BA65-4A3B-9635-B1934B2A78C8}"/>
    <hyperlink ref="C91" r:id="rId202" display="https://www.slickcharts.com/symbol/WMB" xr:uid="{14156E88-0A6B-40E1-BE91-142C74DCE7F1}"/>
    <hyperlink ref="B154" r:id="rId203" display="https://www.slickcharts.com/symbol/UPS" xr:uid="{003FB247-C76F-450E-B2E8-9A961C1F70EC}"/>
    <hyperlink ref="C154" r:id="rId204" display="https://www.slickcharts.com/symbol/UPS" xr:uid="{767D0418-3C56-4C59-8359-637385B9C193}"/>
    <hyperlink ref="B34" r:id="rId205" display="https://www.slickcharts.com/symbol/GD" xr:uid="{117CB332-F972-4742-8F68-D03F34ACD509}"/>
    <hyperlink ref="C34" r:id="rId206" display="https://www.slickcharts.com/symbol/GD" xr:uid="{60CF9E8C-BA30-42A9-AC51-AD79079BA5A8}"/>
    <hyperlink ref="B111" r:id="rId207" display="https://www.slickcharts.com/symbol/CMG" xr:uid="{16F9CA70-E039-4784-9495-2BD7101E2D86}"/>
    <hyperlink ref="C111" r:id="rId208" display="https://www.slickcharts.com/symbol/CMG" xr:uid="{BDA240CA-5DC1-489A-A321-7167CBA4B5AC}"/>
    <hyperlink ref="B35" r:id="rId209" display="https://www.slickcharts.com/symbol/NKE" xr:uid="{6F635716-BAF7-4DC5-9CE2-AE6DD32FC59D}"/>
    <hyperlink ref="C35" r:id="rId210" display="https://www.slickcharts.com/symbol/NKE" xr:uid="{B33DED53-75AA-4D0F-B218-B335FE60579C}"/>
    <hyperlink ref="B155" r:id="rId211" display="https://www.slickcharts.com/symbol/DASH" xr:uid="{CAB53737-989E-425D-8CA3-3FFE95B1B200}"/>
    <hyperlink ref="C155" r:id="rId212" display="https://www.slickcharts.com/symbol/DASH" xr:uid="{8C92D3FA-8596-496A-B03A-97F179714826}"/>
    <hyperlink ref="B36" r:id="rId213" display="https://www.slickcharts.com/symbol/ITW" xr:uid="{42C07816-BABA-4371-98A5-BD1A3445C269}"/>
    <hyperlink ref="C36" r:id="rId214" display="https://www.slickcharts.com/symbol/ITW" xr:uid="{2A25B740-5603-43B1-AADE-AF4B13D26E89}"/>
    <hyperlink ref="B52" r:id="rId215" display="https://www.slickcharts.com/symbol/ECL" xr:uid="{2B73E83B-60D6-4278-9A15-5692FD6A1549}"/>
    <hyperlink ref="C52" r:id="rId216" display="https://www.slickcharts.com/symbol/ECL" xr:uid="{D24981A9-12BD-4135-91FA-307D93396293}"/>
    <hyperlink ref="B40" r:id="rId217" display="https://www.slickcharts.com/symbol/EOG" xr:uid="{3F728679-228E-4B98-90D8-0D520A50A781}"/>
    <hyperlink ref="C40" r:id="rId218" display="https://www.slickcharts.com/symbol/EOG" xr:uid="{C4E41AA4-38C2-4831-993E-666855F024DB}"/>
    <hyperlink ref="B112" r:id="rId219" display="https://www.slickcharts.com/symbol/AZO" xr:uid="{3D8D623E-136B-4B9B-A79B-834CCEDFA452}"/>
    <hyperlink ref="C112" r:id="rId220" display="https://www.slickcharts.com/symbol/AZO" xr:uid="{D97116CD-5A20-4442-B38E-EFDFD91A8DA0}"/>
    <hyperlink ref="B53" r:id="rId221" display="https://www.slickcharts.com/symbol/APD" xr:uid="{B89F3A4D-83B0-437D-A7A4-6BF325AAEDF8}"/>
    <hyperlink ref="C53" r:id="rId222" display="https://www.slickcharts.com/symbol/APD" xr:uid="{85725224-95B6-4732-865A-57AC6291921A}"/>
    <hyperlink ref="B92" r:id="rId223" display="https://www.slickcharts.com/symbol/AEP" xr:uid="{CF52B976-BAAE-4BB2-BE1A-5EA925EEDD53}"/>
    <hyperlink ref="C92" r:id="rId224" display="https://www.slickcharts.com/symbol/AEP" xr:uid="{54E7B453-A8DF-43C3-AD5F-63336F13ABC8}"/>
    <hyperlink ref="B113" r:id="rId225" display="https://www.slickcharts.com/symbol/CPRT" xr:uid="{395FD51D-4409-4445-9FA3-30185A6AA8FE}"/>
    <hyperlink ref="C113" r:id="rId226" display="https://www.slickcharts.com/symbol/CPRT" xr:uid="{4F9BDDDC-3BA6-47B2-BBCD-8EB6FA17B535}"/>
    <hyperlink ref="B93" r:id="rId227" display="https://www.slickcharts.com/symbol/KMI" xr:uid="{E710BE68-4225-4756-B779-A91029C07F12}"/>
    <hyperlink ref="C93" r:id="rId228" display="https://www.slickcharts.com/symbol/KMI" xr:uid="{FB2E71B1-D820-49F2-AB88-F3F754BAB7CD}"/>
    <hyperlink ref="B94" r:id="rId229" display="https://www.slickcharts.com/symbol/OKE" xr:uid="{53EE79B8-098E-43D0-9F5D-35E7638017B0}"/>
    <hyperlink ref="C94" r:id="rId230" display="https://www.slickcharts.com/symbol/OKE" xr:uid="{5A538D0E-C3DB-4A50-B7AB-BC1746164787}"/>
    <hyperlink ref="B95" r:id="rId231" display="https://www.slickcharts.com/symbol/SRE" xr:uid="{29C0F669-A457-485E-975A-CE39C443E228}"/>
    <hyperlink ref="C95" r:id="rId232" display="https://www.slickcharts.com/symbol/SRE" xr:uid="{8F92F230-E8FC-4692-9E90-A562EA8914D4}"/>
    <hyperlink ref="B41" r:id="rId233" display="https://www.slickcharts.com/symbol/SLB" xr:uid="{E8E889EB-F6F6-444E-913F-2862F3693FC0}"/>
    <hyperlink ref="C41" r:id="rId234" display="https://www.slickcharts.com/symbol/SLB" xr:uid="{98732F61-4E7B-4039-99A9-589DA7FC151B}"/>
    <hyperlink ref="B17" r:id="rId235" display="https://www.slickcharts.com/symbol/PCAR" xr:uid="{A685949C-21B8-402E-9FDF-524EBBE48238}"/>
    <hyperlink ref="C17" r:id="rId236" display="https://www.slickcharts.com/symbol/PCAR" xr:uid="{9CE11880-B897-40FB-AA43-AA72F434CF99}"/>
    <hyperlink ref="B156" r:id="rId237" display="https://www.slickcharts.com/symbol/PAYX" xr:uid="{3CBDD829-864C-4EAC-AE3F-D0BD60D5776C}"/>
    <hyperlink ref="C156" r:id="rId238" display="https://www.slickcharts.com/symbol/PAYX" xr:uid="{C9272319-FF1A-497C-9AA7-9DFE60B404DA}"/>
    <hyperlink ref="B96" r:id="rId239" display="https://www.slickcharts.com/symbol/EXC" xr:uid="{DD900983-42ED-4EC7-9EDF-87AEB6237DF3}"/>
    <hyperlink ref="C96" r:id="rId240" display="https://www.slickcharts.com/symbol/EXC" xr:uid="{115192D5-C29E-4FD0-9F60-33A2CB9F670E}"/>
    <hyperlink ref="B97" r:id="rId241" display="https://www.slickcharts.com/symbol/VST" xr:uid="{19F4FA15-DD68-4F1B-A6DE-3C780BDAF292}"/>
    <hyperlink ref="C97" r:id="rId242" display="https://www.slickcharts.com/symbol/VST" xr:uid="{149E30E6-3A2C-4426-BAA2-E1A9987948BA}"/>
    <hyperlink ref="B98" r:id="rId243" display="https://www.slickcharts.com/symbol/D" xr:uid="{77F55BF3-FEDF-4018-BD1F-20B7D3DAE470}"/>
    <hyperlink ref="C98" r:id="rId244" display="https://www.slickcharts.com/symbol/D" xr:uid="{7DD30F22-B249-490F-AF10-DFB9EEA4D50D}"/>
    <hyperlink ref="B54" r:id="rId245" display="https://www.slickcharts.com/symbol/KVUE" xr:uid="{D37DF12B-56B3-4EE2-A77E-EE0E31584D47}"/>
    <hyperlink ref="C54" r:id="rId246" display="https://www.slickcharts.com/symbol/KVUE" xr:uid="{24DC50F0-7925-43D7-A276-B9D386C8D815}"/>
    <hyperlink ref="B42" r:id="rId247" display="https://www.slickcharts.com/symbol/MPC" xr:uid="{14DE5F4C-8728-43B9-AE2D-CCBF743D8AD7}"/>
    <hyperlink ref="C42" r:id="rId248" display="https://www.slickcharts.com/symbol/MPC" xr:uid="{79B25C83-FFAD-44F2-AA9C-3A182764111B}"/>
    <hyperlink ref="B43" r:id="rId249" display="https://www.slickcharts.com/symbol/PSX" xr:uid="{A6BB7DED-CE67-4D07-BD84-C04278B9770A}"/>
    <hyperlink ref="C43" r:id="rId250" display="https://www.slickcharts.com/symbol/PSX" xr:uid="{98C0B663-DE94-4EE5-8222-0B38AA4CC547}"/>
    <hyperlink ref="B8" r:id="rId251" display="https://www.slickcharts.com/symbol/CTVA" xr:uid="{3D7A0A54-CFBD-4737-94E2-F472A45F86F0}"/>
    <hyperlink ref="C8" r:id="rId252" display="https://www.slickcharts.com/symbol/CTVA" xr:uid="{C3E28A2B-4A76-4847-B666-CB38D068E3B0}"/>
    <hyperlink ref="B9" r:id="rId253" display="https://www.slickcharts.com/symbol/MNST" xr:uid="{291577C3-6FE6-4E54-8277-89DFD7B8E1E9}"/>
    <hyperlink ref="C9" r:id="rId254" display="https://www.slickcharts.com/symbol/MNST" xr:uid="{BBB49D64-572A-494F-BEEC-15015A2F45B9}"/>
    <hyperlink ref="B10" r:id="rId255" display="https://www.slickcharts.com/symbol/KDP" xr:uid="{F7128567-35A1-4743-96EF-165CE74ECE44}"/>
    <hyperlink ref="C10" r:id="rId256" display="https://www.slickcharts.com/symbol/KDP" xr:uid="{95A08084-766E-485E-8C6C-27CD7EA5244D}"/>
    <hyperlink ref="B18" r:id="rId257" display="https://www.slickcharts.com/symbol/F" xr:uid="{DA2658F7-994A-4918-9260-A10AF5532413}"/>
    <hyperlink ref="C18" r:id="rId258" display="https://www.slickcharts.com/symbol/F" xr:uid="{EDA15EFB-0F77-44F4-B1B5-224E1330ED57}"/>
    <hyperlink ref="B82" r:id="rId259" display="https://www.slickcharts.com/symbol/CHTR" xr:uid="{66AE4EE3-1E59-44F7-85D5-432D59B1D224}"/>
    <hyperlink ref="C82" r:id="rId260" display="https://www.slickcharts.com/symbol/CHTR" xr:uid="{59E944D4-EF9B-4861-8DFD-8572A28D897B}"/>
    <hyperlink ref="B44" r:id="rId261" display="https://www.slickcharts.com/symbol/VLO" xr:uid="{C022B9A6-A601-41EF-9733-C66DD752375C}"/>
    <hyperlink ref="C44" r:id="rId262" display="https://www.slickcharts.com/symbol/VLO" xr:uid="{AB983AA6-884B-4317-A477-216DE12281F0}"/>
    <hyperlink ref="B45" r:id="rId263" display="https://www.slickcharts.com/symbol/HES" xr:uid="{2087072A-4540-4E83-864B-DEF79E20DC42}"/>
    <hyperlink ref="C45" r:id="rId264" display="https://www.slickcharts.com/symbol/HES" xr:uid="{6F7A27AA-21F9-461E-8AD4-306E1025B283}"/>
    <hyperlink ref="B11" r:id="rId265" display="https://www.slickcharts.com/symbol/GIS" xr:uid="{85B2501A-2FF2-49F4-AE99-7EFBE13B862F}"/>
    <hyperlink ref="C11" r:id="rId266" display="https://www.slickcharts.com/symbol/GIS" xr:uid="{165E8A41-27D4-4D9F-8F60-35C3C07F9B48}"/>
    <hyperlink ref="B12" r:id="rId267" display="https://www.slickcharts.com/symbol/LULU" xr:uid="{31CF93B3-FD85-426A-A073-E156AE2B2D85}"/>
    <hyperlink ref="C12" r:id="rId268" display="https://www.slickcharts.com/symbol/LULU" xr:uid="{4FCDE5FD-3EB3-4FA7-93B3-3759A6E0DD1E}"/>
    <hyperlink ref="B46" r:id="rId269" display="https://www.slickcharts.com/symbol/EQT" xr:uid="{DD2AD4F9-6C6A-4E3F-A348-D4252A826D0E}"/>
    <hyperlink ref="C46" r:id="rId270" display="https://www.slickcharts.com/symbol/EQT" xr:uid="{03124406-A6D6-4194-AC32-B56A9CB3B3F1}"/>
    <hyperlink ref="B13" r:id="rId271" display="https://www.slickcharts.com/symbol/STZ" xr:uid="{2EAFB8D3-F433-4718-BC26-4FFBDD96FAED}"/>
    <hyperlink ref="C13" r:id="rId272" display="https://www.slickcharts.com/symbol/STZ" xr:uid="{E76CD859-7B34-42A8-9380-67FBCD6DD8BF}"/>
    <hyperlink ref="B55" r:id="rId273" display="https://www.slickcharts.com/symbol/DD" xr:uid="{974EE726-938E-45A2-A820-7E5B00F0C5C4}"/>
    <hyperlink ref="C55" r:id="rId274" display="https://www.slickcharts.com/symbol/DD" xr:uid="{BE0C1105-8971-4346-8842-F3920D7249D3}"/>
    <hyperlink ref="B47" r:id="rId275" display="https://www.slickcharts.com/symbol/OXY" xr:uid="{02D1AB8E-6762-4E66-88A5-53AC95F5BD29}"/>
    <hyperlink ref="C47" r:id="rId276" display="https://www.slickcharts.com/symbol/OXY" xr:uid="{A0341CAA-06D4-4656-ADC1-9BC8034BC33A}"/>
    <hyperlink ref="B56" r:id="rId277" display="https://www.slickcharts.com/symbol/PPG" xr:uid="{1E586203-AC1F-45D2-8CC7-779389F4F616}"/>
    <hyperlink ref="C56" r:id="rId278" display="https://www.slickcharts.com/symbol/PPG" xr:uid="{7C239985-05E9-4040-8252-FEEC5CC17F1F}"/>
    <hyperlink ref="B48" r:id="rId279" display="https://www.slickcharts.com/symbol/FANG" xr:uid="{041E87C0-E2FD-469A-B243-CF94AE99CFE9}"/>
    <hyperlink ref="C48" r:id="rId280" display="https://www.slickcharts.com/symbol/FANG" xr:uid="{418EEA1A-2B16-4B9B-A424-691A762F5B93}"/>
    <hyperlink ref="B14" r:id="rId281" display="https://www.slickcharts.com/symbol/KHC" xr:uid="{4430291D-3B06-4ACE-BD03-8DC21A5C585C}"/>
    <hyperlink ref="C14" r:id="rId282" display="https://www.slickcharts.com/symbol/KHC" xr:uid="{B09DF1BD-C5A5-41AB-9AFA-3F8A379D83CE}"/>
    <hyperlink ref="B15" r:id="rId283" display="https://www.slickcharts.com/symbol/HSY" xr:uid="{E1D0A392-C817-48B7-B6BD-3E01B88B7400}"/>
    <hyperlink ref="C15" r:id="rId284" display="https://www.slickcharts.com/symbol/HSY" xr:uid="{63C9EEE0-F98D-4F0E-B91C-C530D72C74D3}"/>
    <hyperlink ref="B57" r:id="rId285" display="https://www.slickcharts.com/symbol/CHD" xr:uid="{86509BF1-456E-4349-A820-D522A22F51F5}"/>
    <hyperlink ref="C57" r:id="rId286" display="https://www.slickcharts.com/symbol/CHD" xr:uid="{23D3FC65-D079-43FD-A435-FCF53FD801E9}"/>
    <hyperlink ref="B58" r:id="rId287" display="https://www.slickcharts.com/symbol/DOW" xr:uid="{70957432-91ED-4D35-9297-44A893FE86AE}"/>
    <hyperlink ref="C58" r:id="rId288" display="https://www.slickcharts.com/symbol/DOW" xr:uid="{910983F2-23BE-4BAD-9176-641E84CAE1E3}"/>
    <hyperlink ref="B19" r:id="rId289" display="https://www.slickcharts.com/symbol/AMCR" xr:uid="{4A700FBE-A649-4B37-BF40-EB44894CEB38}"/>
    <hyperlink ref="C19" r:id="rId290" display="https://www.slickcharts.com/symbol/AMCR" xr:uid="{0E849172-FE4D-44E1-AECF-6C7DF5E4E9BD}"/>
    <hyperlink ref="B59" r:id="rId291" display="https://www.slickcharts.com/symbol/IFF" xr:uid="{DE9FE602-B5B5-41B5-AE0F-982495F30A85}"/>
    <hyperlink ref="C59" r:id="rId292" display="https://www.slickcharts.com/symbol/IFF" xr:uid="{1CAE4D56-978B-4D5F-8033-28F35B928BBA}"/>
    <hyperlink ref="B83" r:id="rId293" display="https://www.slickcharts.com/symbol/WBD" xr:uid="{54BD5E7C-52F5-49E7-A1DA-98B1B5D97096}"/>
    <hyperlink ref="C83" r:id="rId294" display="https://www.slickcharts.com/symbol/WBD" xr:uid="{81C4EE6F-EEE2-460B-A6C9-559C46241A02}"/>
    <hyperlink ref="B60" r:id="rId295" display="https://www.slickcharts.com/symbol/CLX" xr:uid="{A7D64BD2-1680-46C9-A259-35DFBCC830EF}"/>
    <hyperlink ref="C60" r:id="rId296" display="https://www.slickcharts.com/symbol/CLX" xr:uid="{3E417628-D826-4C7B-994C-2EB77674EDEE}"/>
    <hyperlink ref="B20" r:id="rId297" display="https://www.slickcharts.com/symbol/APTV" xr:uid="{0450DF47-BABD-4D26-89D7-C13F2E3635D1}"/>
    <hyperlink ref="C20" r:id="rId298" display="https://www.slickcharts.com/symbol/APTV" xr:uid="{0DF39A63-FDC2-4A73-AD0F-27EE9BDA17AC}"/>
    <hyperlink ref="B84" r:id="rId299" display="https://www.slickcharts.com/symbol/FOXA" xr:uid="{AA4670FE-5DD4-4C62-83B3-20F63C44C3A4}"/>
    <hyperlink ref="C84" r:id="rId300" display="https://www.slickcharts.com/symbol/FOXA" xr:uid="{C37E0BD6-1C03-4A39-BD7F-66637552E09C}"/>
    <hyperlink ref="B61" r:id="rId301" display="https://www.slickcharts.com/symbol/MOS" xr:uid="{B2DC50FE-0707-4FC4-83E6-7F141A10F7F0}"/>
    <hyperlink ref="C61" r:id="rId302" display="https://www.slickcharts.com/symbol/MOS" xr:uid="{4D1C3A4B-E3EC-4382-8C54-A4F03121ED86}"/>
    <hyperlink ref="B62" r:id="rId303" display="https://www.slickcharts.com/symbol/EMN" xr:uid="{FEC8C349-2FCB-4683-BBA0-AA4304A03E3C}"/>
    <hyperlink ref="C62" r:id="rId304" display="https://www.slickcharts.com/symbol/EMN" xr:uid="{DBEEB979-9870-4527-90A4-F5FB412E6FF2}"/>
    <hyperlink ref="B21" r:id="rId305" display="https://www.slickcharts.com/symbol/AOS" xr:uid="{C0B4E147-DD00-400F-8BE6-FDD9C6A089F4}"/>
    <hyperlink ref="C21" r:id="rId306" display="https://www.slickcharts.com/symbol/AOS" xr:uid="{4E7498AE-E136-4557-89C3-79B41BAFD7CD}"/>
    <hyperlink ref="B85" r:id="rId307" display="https://www.slickcharts.com/symbol/PARA" xr:uid="{C54A89FF-EA43-43D4-8BEC-1B1BD0208C50}"/>
    <hyperlink ref="C85" r:id="rId308" display="https://www.slickcharts.com/symbol/PARA" xr:uid="{639B3ECE-68E4-4111-BEBF-AB20750F9B2C}"/>
    <hyperlink ref="B86" r:id="rId309" display="https://www.slickcharts.com/symbol/FOX" xr:uid="{22A91E01-7039-437D-8023-53B5ACFFD246}"/>
    <hyperlink ref="C86" r:id="rId310" display="https://www.slickcharts.com/symbol/FOX" xr:uid="{07409E7B-5CF7-4384-88DB-8976C18082F8}"/>
  </hyperlinks>
  <pageMargins left="0.7" right="0.7" top="0.75" bottom="0.75" header="0.3" footer="0.3"/>
  <pageSetup orientation="portrait" r:id="rId311"/>
  <drawing r:id="rId31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top8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陳以瑄</dc:creator>
  <cp:lastModifiedBy>陳以瑄</cp:lastModifiedBy>
  <dcterms:created xsi:type="dcterms:W3CDTF">2025-05-03T16:25:49Z</dcterms:created>
  <dcterms:modified xsi:type="dcterms:W3CDTF">2025-05-04T04:01:50Z</dcterms:modified>
</cp:coreProperties>
</file>